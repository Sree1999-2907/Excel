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2A21ECA7-ACEF-4EDB-BA8C-5B705C5186C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Instructions" sheetId="2" r:id="rId1"/>
    <sheet name="Cleaned &amp; Transforme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J2" i="1"/>
  <c r="K2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C3" i="1"/>
  <c r="M3" i="1" s="1"/>
  <c r="C4" i="1"/>
  <c r="M4" i="1" s="1"/>
  <c r="C5" i="1"/>
  <c r="M5" i="1" s="1"/>
  <c r="C6" i="1"/>
  <c r="M6" i="1" s="1"/>
  <c r="C7" i="1"/>
  <c r="M7" i="1" s="1"/>
  <c r="C8" i="1"/>
  <c r="M8" i="1" s="1"/>
  <c r="C9" i="1"/>
  <c r="M9" i="1" s="1"/>
  <c r="C10" i="1"/>
  <c r="M10" i="1" s="1"/>
  <c r="C11" i="1"/>
  <c r="M11" i="1" s="1"/>
  <c r="C12" i="1"/>
  <c r="M12" i="1" s="1"/>
  <c r="C13" i="1"/>
  <c r="M13" i="1" s="1"/>
  <c r="C14" i="1"/>
  <c r="M14" i="1" s="1"/>
  <c r="C15" i="1"/>
  <c r="M15" i="1" s="1"/>
  <c r="C16" i="1"/>
  <c r="M16" i="1" s="1"/>
  <c r="C17" i="1"/>
  <c r="M17" i="1" s="1"/>
  <c r="C18" i="1"/>
  <c r="M18" i="1" s="1"/>
  <c r="C19" i="1"/>
  <c r="M19" i="1" s="1"/>
  <c r="C20" i="1"/>
  <c r="M20" i="1" s="1"/>
  <c r="C21" i="1"/>
  <c r="M21" i="1" s="1"/>
  <c r="C22" i="1"/>
  <c r="M22" i="1" s="1"/>
  <c r="C23" i="1"/>
  <c r="M23" i="1" s="1"/>
  <c r="C24" i="1"/>
  <c r="M24" i="1" s="1"/>
  <c r="C25" i="1"/>
  <c r="M25" i="1" s="1"/>
  <c r="C26" i="1"/>
  <c r="M26" i="1" s="1"/>
  <c r="C27" i="1"/>
  <c r="M27" i="1" s="1"/>
  <c r="C28" i="1"/>
  <c r="M28" i="1" s="1"/>
  <c r="C29" i="1"/>
  <c r="M29" i="1" s="1"/>
  <c r="C30" i="1"/>
  <c r="M30" i="1" s="1"/>
  <c r="C31" i="1"/>
  <c r="M31" i="1" s="1"/>
  <c r="C32" i="1"/>
  <c r="M32" i="1" s="1"/>
  <c r="C2" i="1"/>
  <c r="M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<sst xmlns="http://schemas.openxmlformats.org/spreadsheetml/2006/main" count="152" uniqueCount="122">
  <si>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</si>
  <si>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</si>
  <si>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</si>
  <si>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</si>
  <si>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</si>
  <si>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</si>
  <si>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</si>
  <si>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</si>
  <si>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</si>
  <si>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</si>
  <si>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</si>
  <si>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</si>
  <si>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</si>
  <si>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</si>
  <si>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</si>
  <si>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</si>
  <si>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</si>
  <si>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</si>
  <si>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</si>
  <si>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</si>
  <si>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</si>
  <si>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Product  Name Cleaned</t>
  </si>
  <si>
    <t>Brand Name</t>
  </si>
  <si>
    <t>Price ($)</t>
  </si>
  <si>
    <t>Price($) imputed</t>
  </si>
  <si>
    <t>Quantity</t>
  </si>
  <si>
    <t>Category</t>
  </si>
  <si>
    <t>Category imputed</t>
  </si>
  <si>
    <t>Manuf. date</t>
  </si>
  <si>
    <t>Date cleaned</t>
  </si>
  <si>
    <t>Country Code</t>
  </si>
  <si>
    <t>Product Brand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</si>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</sst>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[$-409]dd\-mmm\-yy;@"/>
  </numFmts>
  <fonts count="6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4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2" fillId="3" borderId="0" xfId="0" applyFont="1" applyFill="1" applyAlignment="1">
      <alignment readingOrder="1"/>
    </xf>
    <xf numFmtId="164" fontId="2" fillId="0" borderId="1" xfId="0" applyNumberFormat="1" applyFont="1" applyBorder="1" applyAlignment="1">
      <alignment readingOrder="1"/>
    </xf>
    <xf numFmtId="164" fontId="2" fillId="3" borderId="1" xfId="0" applyNumberFormat="1" applyFont="1" applyFill="1" applyBorder="1" applyAlignment="1">
      <alignment readingOrder="1"/>
    </xf>
    <xf numFmtId="14" fontId="2" fillId="3" borderId="0" xfId="0" applyNumberFormat="1" applyFont="1" applyFill="1" applyAlignment="1">
      <alignment readingOrder="1"/>
    </xf>
    <xf numFmtId="168" fontId="2" fillId="3" borderId="0" xfId="0" applyNumberFormat="1" applyFont="1" applyFill="1" applyAlignment="1">
      <alignment readingOrder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8" formatCode="[$-409]dd\-mmm\-yy;@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4" formatCode="&quot;$&quot;#,##0.00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4DD0E1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color theme="1"/>
      </font>
      <fill>
        <patternFill patternType="solid">
          <bgColor theme="8" tint="0.399975585192419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9EE7C-0852-435D-8696-910D5D303EA3}" name="Table1" displayName="Table1" ref="A1:M32" totalsRowShown="0" headerRowDxfId="17" dataDxfId="16" headerRowBorderDxfId="14" tableBorderDxfId="15" totalsRowBorderDxfId="13">
  <autoFilter ref="A1:M32" xr:uid="{3089EE7C-0852-435D-8696-910D5D303EA3}"/>
  <tableColumns count="13">
    <tableColumn id="1" xr3:uid="{544161AC-BFCB-4BC3-948B-16E4F7F885EF}" name="Product ID" dataDxfId="12"/>
    <tableColumn id="2" xr3:uid="{935500FB-46C6-4107-919A-1369355A273E}" name="Product Name" dataDxfId="11"/>
    <tableColumn id="9" xr3:uid="{37A9C65B-98CB-44F7-AF25-9CE260432FED}" name="Product  Name Cleaned" dataDxfId="10">
      <calculatedColumnFormula>CLEAN(PROPER(Table1[[#This Row],[Product Name]]))</calculatedColumnFormula>
    </tableColumn>
    <tableColumn id="3" xr3:uid="{90097F39-911E-4CCE-B9BB-2D30D0BF3053}" name="Brand Name" dataDxfId="9"/>
    <tableColumn id="4" xr3:uid="{FB9C198A-4EF3-43E8-823A-D61C777604A0}" name="Price ($)" dataDxfId="8"/>
    <tableColumn id="7" xr3:uid="{63064F82-B9DC-4CD2-96F6-5EE73151BC69}" name="Price($) imputed" dataDxfId="7">
      <calculatedColumnFormula>IF(ISBLANK(Table1[[#This Row],[Price ($)]]),MEDIAN(Table1[Price ($)]),Table1[[#This Row],[Price ($)]])</calculatedColumnFormula>
    </tableColumn>
    <tableColumn id="5" xr3:uid="{84D4341D-7952-491A-8022-B42C8250D6F6}" name="Quantity" dataDxfId="6"/>
    <tableColumn id="6" xr3:uid="{28BBD384-4701-4474-B889-5CB40114424E}" name="Category" dataDxfId="5"/>
    <tableColumn id="8" xr3:uid="{0DC95061-72B7-4974-A86C-079F572BF2F0}" name="Category imputed" dataDxfId="4">
      <calculatedColumnFormula>IF(ISBLANK(Table1[[#This Row],[Category]]),"Unknown",Table1[[#This Row],[Category]])</calculatedColumnFormula>
    </tableColumn>
    <tableColumn id="10" xr3:uid="{4480B656-218F-4C99-9F64-CAA094D0EEE3}" name="Manuf. date" dataDxfId="3">
      <calculatedColumnFormula>LEFT(Table1[[#This Row],[Product ID]],6)</calculatedColumnFormula>
    </tableColumn>
    <tableColumn id="13" xr3:uid="{4D749259-182F-426B-8489-6E263BBEA070}" name="Date cleaned" dataDxfId="2">
      <calculatedColumnFormula>Table1[[#This Row],[Manuf. date]]&amp;"-2026"</calculatedColumnFormula>
    </tableColumn>
    <tableColumn id="11" xr3:uid="{43F2C91D-7F83-4BE7-88F2-3196B7CC54F9}" name="Country Code" dataDxfId="1">
      <calculatedColumnFormula>RIGHT(Table1[[#This Row],[Product ID]],2)</calculatedColumnFormula>
    </tableColumn>
    <tableColumn id="12" xr3:uid="{288153F1-E7E8-4B44-9C8A-CB99F333F181}" name="Product Brand" dataDxfId="0">
      <calculatedColumnFormula>CONCATENATE(Table1[[#This Row],[Brand Name]]," ",Table1[[#This Row],[Product  Name Cleaned]])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B8D3-4DF8-45B9-9068-416F5B4DBD20}">
  <dimension ref="A1:Z1000"/>
  <sheetViews>
    <sheetView workbookViewId="0">
      <selection activeCell="N4" sqref="N4"/>
    </sheetView>
  </sheetViews>
  <sheetFormatPr defaultRowHeight="15"/>
  <sheetData>
    <row r="1" spans="1:26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>
      <c r="A3" s="12"/>
      <c r="B3" s="13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>
      <c r="A4" s="12"/>
      <c r="B4" s="12"/>
      <c r="C4" s="14" t="s">
        <v>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>
      <c r="A5" s="12"/>
      <c r="B5" s="12"/>
      <c r="C5" s="14" t="s">
        <v>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>
      <c r="A7" s="12"/>
      <c r="B7" s="13" t="s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>
      <c r="A8" s="12"/>
      <c r="B8" s="12"/>
      <c r="C8" s="14" t="s">
        <v>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>
      <c r="A9" s="12"/>
      <c r="B9" s="12"/>
      <c r="C9" s="14" t="s">
        <v>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>
      <c r="A10" s="12"/>
      <c r="B10" s="12"/>
      <c r="C10" s="14" t="s">
        <v>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>
      <c r="A12" s="12"/>
      <c r="B12" s="13" t="s">
        <v>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>
      <c r="A13" s="12"/>
      <c r="B13" s="12"/>
      <c r="C13" s="14" t="s">
        <v>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>
      <c r="A15" s="12"/>
      <c r="B15" s="13" t="s">
        <v>10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>
      <c r="A16" s="12"/>
      <c r="B16" s="12"/>
      <c r="C16" s="14" t="s">
        <v>11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>
      <c r="A17" s="12"/>
      <c r="B17" s="12"/>
      <c r="C17" s="14" t="s">
        <v>12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>
      <c r="A19" s="12"/>
      <c r="B19" s="13" t="s">
        <v>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>
      <c r="A20" s="12"/>
      <c r="B20" s="12"/>
      <c r="C20" s="14" t="s">
        <v>14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>
      <c r="A21" s="12"/>
      <c r="B21" s="12"/>
      <c r="C21" s="14" t="s">
        <v>15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>
      <c r="A23" s="12"/>
      <c r="B23" s="13" t="s">
        <v>16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>
      <c r="A24" s="12"/>
      <c r="B24" s="12"/>
      <c r="C24" s="14" t="s">
        <v>17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>
      <c r="A25" s="12"/>
      <c r="B25" s="12"/>
      <c r="C25" s="14" t="s">
        <v>18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K7" sqref="K7"/>
    </sheetView>
  </sheetViews>
  <sheetFormatPr defaultRowHeight="15"/>
  <cols>
    <col min="1" max="1" width="12.85546875" bestFit="1" customWidth="1"/>
    <col min="2" max="2" width="9.140625" customWidth="1"/>
    <col min="3" max="3" width="16.140625" customWidth="1"/>
    <col min="4" max="4" width="11" customWidth="1"/>
    <col min="5" max="5" width="10.7109375" bestFit="1" customWidth="1"/>
    <col min="6" max="6" width="18.140625" bestFit="1" customWidth="1"/>
    <col min="7" max="7" width="11" bestFit="1" customWidth="1"/>
    <col min="8" max="8" width="11.42578125" bestFit="1" customWidth="1"/>
    <col min="9" max="9" width="17" customWidth="1"/>
    <col min="10" max="10" width="13.7109375" bestFit="1" customWidth="1"/>
    <col min="11" max="11" width="13.7109375" customWidth="1"/>
    <col min="12" max="12" width="15.85546875" bestFit="1" customWidth="1"/>
    <col min="13" max="13" width="21.7109375" customWidth="1"/>
  </cols>
  <sheetData>
    <row r="1" spans="1:13">
      <c r="A1" s="7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9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</row>
    <row r="2" spans="1:13">
      <c r="A2" s="3" t="s">
        <v>32</v>
      </c>
      <c r="B2" s="1" t="s">
        <v>33</v>
      </c>
      <c r="C2" s="1" t="str">
        <f>CLEAN(PROPER(Table1[[#This Row],[Product Name]]))</f>
        <v>Laptop</v>
      </c>
      <c r="D2" s="1" t="s">
        <v>34</v>
      </c>
      <c r="E2" s="1">
        <v>1000</v>
      </c>
      <c r="F2" s="16">
        <f>IF(ISBLANK(Table1[[#This Row],[Price ($)]]),MEDIAN(Table1[Price ($)]),Table1[[#This Row],[Price ($)]])</f>
        <v>1000</v>
      </c>
      <c r="G2" s="1">
        <v>30</v>
      </c>
      <c r="H2" s="5" t="s">
        <v>35</v>
      </c>
      <c r="I2" s="10" t="str">
        <f>IF(ISBLANK(Table1[[#This Row],[Category]]),"Unknown",Table1[[#This Row],[Category]])</f>
        <v>Electronics</v>
      </c>
      <c r="J2" s="19" t="str">
        <f>LEFT(Table1[[#This Row],[Product ID]],6)</f>
        <v>28-JAN</v>
      </c>
      <c r="K2" s="18" t="str">
        <f>Table1[[#This Row],[Manuf. date]]&amp;"-2026"</f>
        <v>28-JAN-2026</v>
      </c>
      <c r="L2" s="15" t="str">
        <f>RIGHT(Table1[[#This Row],[Product ID]],2)</f>
        <v>US</v>
      </c>
      <c r="M2" s="15" t="str">
        <f>CONCATENATE(Table1[[#This Row],[Brand Name]]," ",Table1[[#This Row],[Product  Name Cleaned]])</f>
        <v>Dell Laptop</v>
      </c>
    </row>
    <row r="3" spans="1:13">
      <c r="A3" s="4" t="s">
        <v>36</v>
      </c>
      <c r="B3" s="2" t="s">
        <v>37</v>
      </c>
      <c r="C3" s="1" t="str">
        <f>CLEAN(PROPER(Table1[[#This Row],[Product Name]]))</f>
        <v>Sneakers</v>
      </c>
      <c r="D3" s="2" t="s">
        <v>38</v>
      </c>
      <c r="E3" s="2">
        <v>80</v>
      </c>
      <c r="F3" s="17">
        <f>IF(ISBLANK(Table1[[#This Row],[Price ($)]]),MEDIAN(Table1[Price ($)]),Table1[[#This Row],[Price ($)]])</f>
        <v>80</v>
      </c>
      <c r="G3" s="2">
        <v>15</v>
      </c>
      <c r="H3" s="6" t="s">
        <v>39</v>
      </c>
      <c r="I3" s="10" t="str">
        <f>IF(ISBLANK(Table1[[#This Row],[Category]]),"Unknown",Table1[[#This Row],[Category]])</f>
        <v>Fashion</v>
      </c>
      <c r="J3" s="19" t="str">
        <f>LEFT(Table1[[#This Row],[Product ID]],6)</f>
        <v>15-FEB</v>
      </c>
      <c r="K3" s="18" t="str">
        <f>Table1[[#This Row],[Manuf. date]]&amp;"-2026"</f>
        <v>15-FEB-2026</v>
      </c>
      <c r="L3" s="15" t="str">
        <f>RIGHT(Table1[[#This Row],[Product ID]],2)</f>
        <v>US</v>
      </c>
      <c r="M3" s="15" t="str">
        <f>CONCATENATE(Table1[[#This Row],[Brand Name]]," ",Table1[[#This Row],[Product  Name Cleaned]])</f>
        <v>Nike Sneakers</v>
      </c>
    </row>
    <row r="4" spans="1:13">
      <c r="A4" s="3" t="s">
        <v>40</v>
      </c>
      <c r="B4" s="1" t="s">
        <v>41</v>
      </c>
      <c r="C4" s="1" t="str">
        <f>CLEAN(PROPER(Table1[[#This Row],[Product Name]]))</f>
        <v>Coffee Maker</v>
      </c>
      <c r="D4" s="1" t="s">
        <v>42</v>
      </c>
      <c r="E4" s="1">
        <v>130</v>
      </c>
      <c r="F4" s="16">
        <f>IF(ISBLANK(Table1[[#This Row],[Price ($)]]),MEDIAN(Table1[Price ($)]),Table1[[#This Row],[Price ($)]])</f>
        <v>130</v>
      </c>
      <c r="G4" s="1">
        <v>40</v>
      </c>
      <c r="H4" s="5" t="s">
        <v>43</v>
      </c>
      <c r="I4" s="10" t="str">
        <f>IF(ISBLANK(Table1[[#This Row],[Category]]),"Unknown",Table1[[#This Row],[Category]])</f>
        <v>Kitchen</v>
      </c>
      <c r="J4" s="19" t="str">
        <f>LEFT(Table1[[#This Row],[Product ID]],6)</f>
        <v>03-MAR</v>
      </c>
      <c r="K4" s="18" t="str">
        <f>Table1[[#This Row],[Manuf. date]]&amp;"-2026"</f>
        <v>03-MAR-2026</v>
      </c>
      <c r="L4" s="15" t="str">
        <f>RIGHT(Table1[[#This Row],[Product ID]],2)</f>
        <v>US</v>
      </c>
      <c r="M4" s="15" t="str">
        <f>CONCATENATE(Table1[[#This Row],[Brand Name]]," ",Table1[[#This Row],[Product  Name Cleaned]])</f>
        <v>Keurig Coffee Maker</v>
      </c>
    </row>
    <row r="5" spans="1:13">
      <c r="A5" s="4" t="s">
        <v>44</v>
      </c>
      <c r="B5" s="2" t="s">
        <v>45</v>
      </c>
      <c r="C5" s="1" t="str">
        <f>CLEAN(PROPER(Table1[[#This Row],[Product Name]]))</f>
        <v>Smartphone</v>
      </c>
      <c r="D5" s="2" t="s">
        <v>46</v>
      </c>
      <c r="E5" s="2">
        <v>900</v>
      </c>
      <c r="F5" s="17">
        <f>IF(ISBLANK(Table1[[#This Row],[Price ($)]]),MEDIAN(Table1[Price ($)]),Table1[[#This Row],[Price ($)]])</f>
        <v>900</v>
      </c>
      <c r="G5" s="2">
        <v>25</v>
      </c>
      <c r="H5" s="6" t="s">
        <v>35</v>
      </c>
      <c r="I5" s="10" t="str">
        <f>IF(ISBLANK(Table1[[#This Row],[Category]]),"Unknown",Table1[[#This Row],[Category]])</f>
        <v>Electronics</v>
      </c>
      <c r="J5" s="19" t="str">
        <f>LEFT(Table1[[#This Row],[Product ID]],6)</f>
        <v>11-APR</v>
      </c>
      <c r="K5" s="18" t="str">
        <f>Table1[[#This Row],[Manuf. date]]&amp;"-2026"</f>
        <v>11-APR-2026</v>
      </c>
      <c r="L5" s="15" t="str">
        <f>RIGHT(Table1[[#This Row],[Product ID]],2)</f>
        <v>US</v>
      </c>
      <c r="M5" s="15" t="str">
        <f>CONCATENATE(Table1[[#This Row],[Brand Name]]," ",Table1[[#This Row],[Product  Name Cleaned]])</f>
        <v>Samsung Smartphone</v>
      </c>
    </row>
    <row r="6" spans="1:13">
      <c r="A6" s="3" t="s">
        <v>47</v>
      </c>
      <c r="B6" s="1" t="s">
        <v>48</v>
      </c>
      <c r="C6" s="1" t="str">
        <f>CLEAN(PROPER(Table1[[#This Row],[Product Name]]))</f>
        <v>Backpack</v>
      </c>
      <c r="D6" s="1" t="s">
        <v>49</v>
      </c>
      <c r="E6" s="1">
        <v>70</v>
      </c>
      <c r="F6" s="16">
        <f>IF(ISBLANK(Table1[[#This Row],[Price ($)]]),MEDIAN(Table1[Price ($)]),Table1[[#This Row],[Price ($)]])</f>
        <v>70</v>
      </c>
      <c r="G6" s="1">
        <v>20</v>
      </c>
      <c r="H6" s="5"/>
      <c r="I6" s="10" t="str">
        <f>IF(ISBLANK(Table1[[#This Row],[Category]]),"Unknown",Table1[[#This Row],[Category]])</f>
        <v>Unknown</v>
      </c>
      <c r="J6" s="19" t="str">
        <f>LEFT(Table1[[#This Row],[Product ID]],6)</f>
        <v>22-MAY</v>
      </c>
      <c r="K6" s="18" t="str">
        <f>Table1[[#This Row],[Manuf. date]]&amp;"-2026"</f>
        <v>22-MAY-2026</v>
      </c>
      <c r="L6" s="15" t="str">
        <f>RIGHT(Table1[[#This Row],[Product ID]],2)</f>
        <v>US</v>
      </c>
      <c r="M6" s="15" t="str">
        <f>CONCATENATE(Table1[[#This Row],[Brand Name]]," ",Table1[[#This Row],[Product  Name Cleaned]])</f>
        <v>North Face Backpack</v>
      </c>
    </row>
    <row r="7" spans="1:13">
      <c r="A7" s="4" t="s">
        <v>50</v>
      </c>
      <c r="B7" s="2" t="s">
        <v>51</v>
      </c>
      <c r="C7" s="1" t="str">
        <f>CLEAN(PROPER(Table1[[#This Row],[Product Name]]))</f>
        <v>Headphones</v>
      </c>
      <c r="D7" s="2" t="s">
        <v>52</v>
      </c>
      <c r="E7" s="2"/>
      <c r="F7" s="17">
        <f>IF(ISBLANK(Table1[[#This Row],[Price ($)]]),MEDIAN(Table1[Price ($)]),Table1[[#This Row],[Price ($)]])</f>
        <v>130</v>
      </c>
      <c r="G7" s="2">
        <v>45</v>
      </c>
      <c r="H7" s="6" t="s">
        <v>35</v>
      </c>
      <c r="I7" s="10" t="str">
        <f>IF(ISBLANK(Table1[[#This Row],[Category]]),"Unknown",Table1[[#This Row],[Category]])</f>
        <v>Electronics</v>
      </c>
      <c r="J7" s="19" t="str">
        <f>LEFT(Table1[[#This Row],[Product ID]],6)</f>
        <v>07-JUN</v>
      </c>
      <c r="K7" s="18" t="str">
        <f>Table1[[#This Row],[Manuf. date]]&amp;"-2026"</f>
        <v>07-JUN-2026</v>
      </c>
      <c r="L7" s="15" t="str">
        <f>RIGHT(Table1[[#This Row],[Product ID]],2)</f>
        <v>UK</v>
      </c>
      <c r="M7" s="15" t="str">
        <f>CONCATENATE(Table1[[#This Row],[Brand Name]]," ",Table1[[#This Row],[Product  Name Cleaned]])</f>
        <v>Sony Headphones</v>
      </c>
    </row>
    <row r="8" spans="1:13">
      <c r="A8" s="3" t="s">
        <v>53</v>
      </c>
      <c r="B8" s="1" t="s">
        <v>54</v>
      </c>
      <c r="C8" s="1" t="str">
        <f>CLEAN(PROPER(Table1[[#This Row],[Product Name]]))</f>
        <v>T-Shirt</v>
      </c>
      <c r="D8" s="1" t="s">
        <v>55</v>
      </c>
      <c r="E8" s="1">
        <v>30</v>
      </c>
      <c r="F8" s="16">
        <f>IF(ISBLANK(Table1[[#This Row],[Price ($)]]),MEDIAN(Table1[Price ($)]),Table1[[#This Row],[Price ($)]])</f>
        <v>30</v>
      </c>
      <c r="G8" s="1">
        <v>5</v>
      </c>
      <c r="H8" s="5" t="s">
        <v>39</v>
      </c>
      <c r="I8" s="10" t="str">
        <f>IF(ISBLANK(Table1[[#This Row],[Category]]),"Unknown",Table1[[#This Row],[Category]])</f>
        <v>Fashion</v>
      </c>
      <c r="J8" s="19" t="str">
        <f>LEFT(Table1[[#This Row],[Product ID]],6)</f>
        <v>19-JUL</v>
      </c>
      <c r="K8" s="18" t="str">
        <f>Table1[[#This Row],[Manuf. date]]&amp;"-2026"</f>
        <v>19-JUL-2026</v>
      </c>
      <c r="L8" s="15" t="str">
        <f>RIGHT(Table1[[#This Row],[Product ID]],2)</f>
        <v>UK</v>
      </c>
      <c r="M8" s="15" t="str">
        <f>CONCATENATE(Table1[[#This Row],[Brand Name]]," ",Table1[[#This Row],[Product  Name Cleaned]])</f>
        <v>Adidas T-Shirt</v>
      </c>
    </row>
    <row r="9" spans="1:13">
      <c r="A9" s="4" t="s">
        <v>56</v>
      </c>
      <c r="B9" s="2" t="s">
        <v>57</v>
      </c>
      <c r="C9" s="1" t="str">
        <f>CLEAN(PROPER(Table1[[#This Row],[Product Name]]))</f>
        <v>Blender</v>
      </c>
      <c r="D9" s="2" t="s">
        <v>58</v>
      </c>
      <c r="E9" s="2">
        <v>90</v>
      </c>
      <c r="F9" s="17">
        <f>IF(ISBLANK(Table1[[#This Row],[Price ($)]]),MEDIAN(Table1[Price ($)]),Table1[[#This Row],[Price ($)]])</f>
        <v>90</v>
      </c>
      <c r="G9" s="2">
        <v>35</v>
      </c>
      <c r="H9" s="6" t="s">
        <v>43</v>
      </c>
      <c r="I9" s="10" t="str">
        <f>IF(ISBLANK(Table1[[#This Row],[Category]]),"Unknown",Table1[[#This Row],[Category]])</f>
        <v>Kitchen</v>
      </c>
      <c r="J9" s="19" t="str">
        <f>LEFT(Table1[[#This Row],[Product ID]],6)</f>
        <v>23-AUG</v>
      </c>
      <c r="K9" s="18" t="str">
        <f>Table1[[#This Row],[Manuf. date]]&amp;"-2026"</f>
        <v>23-AUG-2026</v>
      </c>
      <c r="L9" s="15" t="str">
        <f>RIGHT(Table1[[#This Row],[Product ID]],2)</f>
        <v>UK</v>
      </c>
      <c r="M9" s="15" t="str">
        <f>CONCATENATE(Table1[[#This Row],[Brand Name]]," ",Table1[[#This Row],[Product  Name Cleaned]])</f>
        <v>Ninja Blender</v>
      </c>
    </row>
    <row r="10" spans="1:13">
      <c r="A10" s="3" t="s">
        <v>59</v>
      </c>
      <c r="B10" s="1" t="s">
        <v>60</v>
      </c>
      <c r="C10" s="1" t="str">
        <f>CLEAN(PROPER(Table1[[#This Row],[Product Name]]))</f>
        <v>Tablet</v>
      </c>
      <c r="D10" s="1" t="s">
        <v>61</v>
      </c>
      <c r="E10" s="1">
        <v>500</v>
      </c>
      <c r="F10" s="16">
        <f>IF(ISBLANK(Table1[[#This Row],[Price ($)]]),MEDIAN(Table1[Price ($)]),Table1[[#This Row],[Price ($)]])</f>
        <v>500</v>
      </c>
      <c r="G10" s="1">
        <v>50</v>
      </c>
      <c r="H10" s="5" t="s">
        <v>35</v>
      </c>
      <c r="I10" s="10" t="str">
        <f>IF(ISBLANK(Table1[[#This Row],[Category]]),"Unknown",Table1[[#This Row],[Category]])</f>
        <v>Electronics</v>
      </c>
      <c r="J10" s="19" t="str">
        <f>LEFT(Table1[[#This Row],[Product ID]],6)</f>
        <v>05-SEP</v>
      </c>
      <c r="K10" s="18" t="str">
        <f>Table1[[#This Row],[Manuf. date]]&amp;"-2026"</f>
        <v>05-SEP-2026</v>
      </c>
      <c r="L10" s="15" t="str">
        <f>RIGHT(Table1[[#This Row],[Product ID]],2)</f>
        <v>UK</v>
      </c>
      <c r="M10" s="15" t="str">
        <f>CONCATENATE(Table1[[#This Row],[Brand Name]]," ",Table1[[#This Row],[Product  Name Cleaned]])</f>
        <v>Apple Tablet</v>
      </c>
    </row>
    <row r="11" spans="1:13">
      <c r="A11" s="4" t="s">
        <v>62</v>
      </c>
      <c r="B11" s="2" t="s">
        <v>63</v>
      </c>
      <c r="C11" s="1" t="str">
        <f>CLEAN(PROPER(Table1[[#This Row],[Product Name]]))</f>
        <v>Hiking Boots</v>
      </c>
      <c r="D11" s="2" t="s">
        <v>64</v>
      </c>
      <c r="E11" s="2">
        <v>130</v>
      </c>
      <c r="F11" s="17">
        <f>IF(ISBLANK(Table1[[#This Row],[Price ($)]]),MEDIAN(Table1[Price ($)]),Table1[[#This Row],[Price ($)]])</f>
        <v>130</v>
      </c>
      <c r="G11" s="2">
        <v>10</v>
      </c>
      <c r="H11" s="6" t="s">
        <v>65</v>
      </c>
      <c r="I11" s="10" t="str">
        <f>IF(ISBLANK(Table1[[#This Row],[Category]]),"Unknown",Table1[[#This Row],[Category]])</f>
        <v>Outdoor</v>
      </c>
      <c r="J11" s="19" t="str">
        <f>LEFT(Table1[[#This Row],[Product ID]],6)</f>
        <v>14-OCT</v>
      </c>
      <c r="K11" s="18" t="str">
        <f>Table1[[#This Row],[Manuf. date]]&amp;"-2026"</f>
        <v>14-OCT-2026</v>
      </c>
      <c r="L11" s="15" t="str">
        <f>RIGHT(Table1[[#This Row],[Product ID]],2)</f>
        <v>UK</v>
      </c>
      <c r="M11" s="15" t="str">
        <f>CONCATENATE(Table1[[#This Row],[Brand Name]]," ",Table1[[#This Row],[Product  Name Cleaned]])</f>
        <v>Timberland Hiking Boots</v>
      </c>
    </row>
    <row r="12" spans="1:13">
      <c r="A12" s="3" t="s">
        <v>66</v>
      </c>
      <c r="B12" s="1" t="s">
        <v>67</v>
      </c>
      <c r="C12" s="1" t="str">
        <f>CLEAN(PROPER(Table1[[#This Row],[Product Name]]))</f>
        <v>Laptop</v>
      </c>
      <c r="D12" s="1" t="s">
        <v>68</v>
      </c>
      <c r="E12" s="1">
        <v>950</v>
      </c>
      <c r="F12" s="16">
        <f>IF(ISBLANK(Table1[[#This Row],[Price ($)]]),MEDIAN(Table1[Price ($)]),Table1[[#This Row],[Price ($)]])</f>
        <v>950</v>
      </c>
      <c r="G12" s="1">
        <v>25</v>
      </c>
      <c r="H12" s="5" t="s">
        <v>35</v>
      </c>
      <c r="I12" s="10" t="str">
        <f>IF(ISBLANK(Table1[[#This Row],[Category]]),"Unknown",Table1[[#This Row],[Category]])</f>
        <v>Electronics</v>
      </c>
      <c r="J12" s="19" t="str">
        <f>LEFT(Table1[[#This Row],[Product ID]],6)</f>
        <v>17-JUN</v>
      </c>
      <c r="K12" s="18" t="str">
        <f>Table1[[#This Row],[Manuf. date]]&amp;"-2026"</f>
        <v>17-JUN-2026</v>
      </c>
      <c r="L12" s="15" t="str">
        <f>RIGHT(Table1[[#This Row],[Product ID]],2)</f>
        <v>IN</v>
      </c>
      <c r="M12" s="15" t="str">
        <f>CONCATENATE(Table1[[#This Row],[Brand Name]]," ",Table1[[#This Row],[Product  Name Cleaned]])</f>
        <v>HP Laptop</v>
      </c>
    </row>
    <row r="13" spans="1:13">
      <c r="A13" s="4" t="s">
        <v>69</v>
      </c>
      <c r="B13" s="2" t="s">
        <v>37</v>
      </c>
      <c r="C13" s="1" t="str">
        <f>CLEAN(PROPER(Table1[[#This Row],[Product Name]]))</f>
        <v>Sneakers</v>
      </c>
      <c r="D13" s="2" t="s">
        <v>55</v>
      </c>
      <c r="E13" s="2">
        <v>90</v>
      </c>
      <c r="F13" s="17">
        <f>IF(ISBLANK(Table1[[#This Row],[Price ($)]]),MEDIAN(Table1[Price ($)]),Table1[[#This Row],[Price ($)]])</f>
        <v>90</v>
      </c>
      <c r="G13" s="2">
        <v>40</v>
      </c>
      <c r="H13" s="6"/>
      <c r="I13" s="10" t="str">
        <f>IF(ISBLANK(Table1[[#This Row],[Category]]),"Unknown",Table1[[#This Row],[Category]])</f>
        <v>Unknown</v>
      </c>
      <c r="J13" s="19" t="str">
        <f>LEFT(Table1[[#This Row],[Product ID]],6)</f>
        <v>25-NOV</v>
      </c>
      <c r="K13" s="18" t="str">
        <f>Table1[[#This Row],[Manuf. date]]&amp;"-2026"</f>
        <v>25-NOV-2026</v>
      </c>
      <c r="L13" s="15" t="str">
        <f>RIGHT(Table1[[#This Row],[Product ID]],2)</f>
        <v>AU</v>
      </c>
      <c r="M13" s="15" t="str">
        <f>CONCATENATE(Table1[[#This Row],[Brand Name]]," ",Table1[[#This Row],[Product  Name Cleaned]])</f>
        <v>Adidas Sneakers</v>
      </c>
    </row>
    <row r="14" spans="1:13">
      <c r="A14" s="3" t="s">
        <v>70</v>
      </c>
      <c r="B14" s="1" t="s">
        <v>41</v>
      </c>
      <c r="C14" s="1" t="str">
        <f>CLEAN(PROPER(Table1[[#This Row],[Product Name]]))</f>
        <v>Coffee Maker</v>
      </c>
      <c r="D14" s="1" t="s">
        <v>71</v>
      </c>
      <c r="E14" s="1">
        <v>120</v>
      </c>
      <c r="F14" s="16">
        <f>IF(ISBLANK(Table1[[#This Row],[Price ($)]]),MEDIAN(Table1[Price ($)]),Table1[[#This Row],[Price ($)]])</f>
        <v>120</v>
      </c>
      <c r="G14" s="1">
        <v>35</v>
      </c>
      <c r="H14" s="5"/>
      <c r="I14" s="10" t="str">
        <f>IF(ISBLANK(Table1[[#This Row],[Category]]),"Unknown",Table1[[#This Row],[Category]])</f>
        <v>Unknown</v>
      </c>
      <c r="J14" s="19" t="str">
        <f>LEFT(Table1[[#This Row],[Product ID]],6)</f>
        <v>08-DEC</v>
      </c>
      <c r="K14" s="18" t="str">
        <f>Table1[[#This Row],[Manuf. date]]&amp;"-2026"</f>
        <v>08-DEC-2026</v>
      </c>
      <c r="L14" s="15" t="str">
        <f>RIGHT(Table1[[#This Row],[Product ID]],2)</f>
        <v>DE</v>
      </c>
      <c r="M14" s="15" t="str">
        <f>CONCATENATE(Table1[[#This Row],[Brand Name]]," ",Table1[[#This Row],[Product  Name Cleaned]])</f>
        <v>Nespresso Coffee Maker</v>
      </c>
    </row>
    <row r="15" spans="1:13">
      <c r="A15" s="4" t="s">
        <v>72</v>
      </c>
      <c r="B15" s="2" t="s">
        <v>73</v>
      </c>
      <c r="C15" s="1" t="str">
        <f>CLEAN(PROPER(Table1[[#This Row],[Product Name]]))</f>
        <v>Smartwatch</v>
      </c>
      <c r="D15" s="2" t="s">
        <v>74</v>
      </c>
      <c r="E15" s="2">
        <v>150</v>
      </c>
      <c r="F15" s="17">
        <f>IF(ISBLANK(Table1[[#This Row],[Price ($)]]),MEDIAN(Table1[Price ($)]),Table1[[#This Row],[Price ($)]])</f>
        <v>150</v>
      </c>
      <c r="G15" s="2">
        <v>15</v>
      </c>
      <c r="H15" s="6" t="s">
        <v>35</v>
      </c>
      <c r="I15" s="10" t="str">
        <f>IF(ISBLANK(Table1[[#This Row],[Category]]),"Unknown",Table1[[#This Row],[Category]])</f>
        <v>Electronics</v>
      </c>
      <c r="J15" s="19" t="str">
        <f>LEFT(Table1[[#This Row],[Product ID]],6)</f>
        <v>18-FEB</v>
      </c>
      <c r="K15" s="18" t="str">
        <f>Table1[[#This Row],[Manuf. date]]&amp;"-2026"</f>
        <v>18-FEB-2026</v>
      </c>
      <c r="L15" s="15" t="str">
        <f>RIGHT(Table1[[#This Row],[Product ID]],2)</f>
        <v>CA</v>
      </c>
      <c r="M15" s="15" t="str">
        <f>CONCATENATE(Table1[[#This Row],[Brand Name]]," ",Table1[[#This Row],[Product  Name Cleaned]])</f>
        <v>Fitbit Smartwatch</v>
      </c>
    </row>
    <row r="16" spans="1:13">
      <c r="A16" s="3" t="s">
        <v>75</v>
      </c>
      <c r="B16" s="1" t="s">
        <v>76</v>
      </c>
      <c r="C16" s="1" t="str">
        <f>CLEAN(PROPER(Table1[[#This Row],[Product Name]]))</f>
        <v>Headphones</v>
      </c>
      <c r="D16" s="1" t="s">
        <v>77</v>
      </c>
      <c r="E16" s="1">
        <v>250</v>
      </c>
      <c r="F16" s="16">
        <f>IF(ISBLANK(Table1[[#This Row],[Price ($)]]),MEDIAN(Table1[Price ($)]),Table1[[#This Row],[Price ($)]])</f>
        <v>250</v>
      </c>
      <c r="G16" s="1">
        <v>20</v>
      </c>
      <c r="H16" s="5" t="s">
        <v>35</v>
      </c>
      <c r="I16" s="10" t="str">
        <f>IF(ISBLANK(Table1[[#This Row],[Category]]),"Unknown",Table1[[#This Row],[Category]])</f>
        <v>Electronics</v>
      </c>
      <c r="J16" s="19" t="str">
        <f>LEFT(Table1[[#This Row],[Product ID]],6)</f>
        <v>16-APR</v>
      </c>
      <c r="K16" s="18" t="str">
        <f>Table1[[#This Row],[Manuf. date]]&amp;"-2026"</f>
        <v>16-APR-2026</v>
      </c>
      <c r="L16" s="15" t="str">
        <f>RIGHT(Table1[[#This Row],[Product ID]],2)</f>
        <v>ES</v>
      </c>
      <c r="M16" s="15" t="str">
        <f>CONCATENATE(Table1[[#This Row],[Brand Name]]," ",Table1[[#This Row],[Product  Name Cleaned]])</f>
        <v>Bose Headphones</v>
      </c>
    </row>
    <row r="17" spans="1:13">
      <c r="A17" s="4" t="s">
        <v>78</v>
      </c>
      <c r="B17" s="2" t="s">
        <v>79</v>
      </c>
      <c r="C17" s="1" t="str">
        <f>CLEAN(PROPER(Table1[[#This Row],[Product Name]]))</f>
        <v>Laptop Bag</v>
      </c>
      <c r="D17" s="2" t="s">
        <v>80</v>
      </c>
      <c r="E17" s="2">
        <v>50</v>
      </c>
      <c r="F17" s="17">
        <f>IF(ISBLANK(Table1[[#This Row],[Price ($)]]),MEDIAN(Table1[Price ($)]),Table1[[#This Row],[Price ($)]])</f>
        <v>50</v>
      </c>
      <c r="G17" s="2">
        <v>35</v>
      </c>
      <c r="H17" s="6" t="s">
        <v>81</v>
      </c>
      <c r="I17" s="10" t="str">
        <f>IF(ISBLANK(Table1[[#This Row],[Category]]),"Unknown",Table1[[#This Row],[Category]])</f>
        <v>Accessories</v>
      </c>
      <c r="J17" s="19" t="str">
        <f>LEFT(Table1[[#This Row],[Product ID]],6)</f>
        <v>21-AUG</v>
      </c>
      <c r="K17" s="18" t="str">
        <f>Table1[[#This Row],[Manuf. date]]&amp;"-2026"</f>
        <v>21-AUG-2026</v>
      </c>
      <c r="L17" s="15" t="str">
        <f>RIGHT(Table1[[#This Row],[Product ID]],2)</f>
        <v>CA</v>
      </c>
      <c r="M17" s="15" t="str">
        <f>CONCATENATE(Table1[[#This Row],[Brand Name]]," ",Table1[[#This Row],[Product  Name Cleaned]])</f>
        <v>Samsonite Laptop Bag</v>
      </c>
    </row>
    <row r="18" spans="1:13">
      <c r="A18" s="3" t="s">
        <v>82</v>
      </c>
      <c r="B18" s="1" t="s">
        <v>73</v>
      </c>
      <c r="C18" s="1" t="str">
        <f>CLEAN(PROPER(Table1[[#This Row],[Product Name]]))</f>
        <v>Smartwatch</v>
      </c>
      <c r="D18" s="1" t="s">
        <v>83</v>
      </c>
      <c r="E18" s="1">
        <v>160</v>
      </c>
      <c r="F18" s="16">
        <f>IF(ISBLANK(Table1[[#This Row],[Price ($)]]),MEDIAN(Table1[Price ($)]),Table1[[#This Row],[Price ($)]])</f>
        <v>160</v>
      </c>
      <c r="G18" s="1">
        <v>15</v>
      </c>
      <c r="H18" s="5" t="s">
        <v>35</v>
      </c>
      <c r="I18" s="10" t="str">
        <f>IF(ISBLANK(Table1[[#This Row],[Category]]),"Unknown",Table1[[#This Row],[Category]])</f>
        <v>Electronics</v>
      </c>
      <c r="J18" s="19" t="str">
        <f>LEFT(Table1[[#This Row],[Product ID]],6)</f>
        <v>20-AUG</v>
      </c>
      <c r="K18" s="18" t="str">
        <f>Table1[[#This Row],[Manuf. date]]&amp;"-2026"</f>
        <v>20-AUG-2026</v>
      </c>
      <c r="L18" s="15" t="str">
        <f>RIGHT(Table1[[#This Row],[Product ID]],2)</f>
        <v>CN</v>
      </c>
      <c r="M18" s="15" t="str">
        <f>CONCATENATE(Table1[[#This Row],[Brand Name]]," ",Table1[[#This Row],[Product  Name Cleaned]])</f>
        <v>Huawei Smartwatch</v>
      </c>
    </row>
    <row r="19" spans="1:13">
      <c r="A19" s="4" t="s">
        <v>84</v>
      </c>
      <c r="B19" s="2" t="s">
        <v>33</v>
      </c>
      <c r="C19" s="1" t="str">
        <f>CLEAN(PROPER(Table1[[#This Row],[Product Name]]))</f>
        <v>Laptop</v>
      </c>
      <c r="D19" s="2" t="s">
        <v>85</v>
      </c>
      <c r="E19" s="2">
        <v>980</v>
      </c>
      <c r="F19" s="17">
        <f>IF(ISBLANK(Table1[[#This Row],[Price ($)]]),MEDIAN(Table1[Price ($)]),Table1[[#This Row],[Price ($)]])</f>
        <v>980</v>
      </c>
      <c r="G19" s="2">
        <v>10</v>
      </c>
      <c r="H19" s="6" t="s">
        <v>35</v>
      </c>
      <c r="I19" s="10" t="str">
        <f>IF(ISBLANK(Table1[[#This Row],[Category]]),"Unknown",Table1[[#This Row],[Category]])</f>
        <v>Electronics</v>
      </c>
      <c r="J19" s="19" t="str">
        <f>LEFT(Table1[[#This Row],[Product ID]],6)</f>
        <v>27-JAN</v>
      </c>
      <c r="K19" s="18" t="str">
        <f>Table1[[#This Row],[Manuf. date]]&amp;"-2026"</f>
        <v>27-JAN-2026</v>
      </c>
      <c r="L19" s="15" t="str">
        <f>RIGHT(Table1[[#This Row],[Product ID]],2)</f>
        <v>IT</v>
      </c>
      <c r="M19" s="15" t="str">
        <f>CONCATENATE(Table1[[#This Row],[Brand Name]]," ",Table1[[#This Row],[Product  Name Cleaned]])</f>
        <v>Asus Laptop</v>
      </c>
    </row>
    <row r="20" spans="1:13">
      <c r="A20" s="3" t="s">
        <v>86</v>
      </c>
      <c r="B20" s="1" t="s">
        <v>87</v>
      </c>
      <c r="C20" s="1" t="str">
        <f>CLEAN(PROPER(Table1[[#This Row],[Product Name]]))</f>
        <v>Sunglasses</v>
      </c>
      <c r="D20" s="1" t="s">
        <v>88</v>
      </c>
      <c r="E20" s="1">
        <v>150</v>
      </c>
      <c r="F20" s="16">
        <f>IF(ISBLANK(Table1[[#This Row],[Price ($)]]),MEDIAN(Table1[Price ($)]),Table1[[#This Row],[Price ($)]])</f>
        <v>150</v>
      </c>
      <c r="G20" s="1">
        <v>15</v>
      </c>
      <c r="H20" s="5" t="s">
        <v>39</v>
      </c>
      <c r="I20" s="10" t="str">
        <f>IF(ISBLANK(Table1[[#This Row],[Category]]),"Unknown",Table1[[#This Row],[Category]])</f>
        <v>Fashion</v>
      </c>
      <c r="J20" s="19" t="str">
        <f>LEFT(Table1[[#This Row],[Product ID]],6)</f>
        <v>01-MAR</v>
      </c>
      <c r="K20" s="18" t="str">
        <f>Table1[[#This Row],[Manuf. date]]&amp;"-2026"</f>
        <v>01-MAR-2026</v>
      </c>
      <c r="L20" s="15" t="str">
        <f>RIGHT(Table1[[#This Row],[Product ID]],2)</f>
        <v>UK</v>
      </c>
      <c r="M20" s="15" t="str">
        <f>CONCATENATE(Table1[[#This Row],[Brand Name]]," ",Table1[[#This Row],[Product  Name Cleaned]])</f>
        <v>Oakley Sunglasses</v>
      </c>
    </row>
    <row r="21" spans="1:13">
      <c r="A21" s="4" t="s">
        <v>89</v>
      </c>
      <c r="B21" s="2" t="s">
        <v>90</v>
      </c>
      <c r="C21" s="1" t="str">
        <f>CLEAN(PROPER(Table1[[#This Row],[Product Name]]))</f>
        <v>Camping Tent</v>
      </c>
      <c r="D21" s="2" t="s">
        <v>91</v>
      </c>
      <c r="E21" s="2"/>
      <c r="F21" s="17">
        <f>IF(ISBLANK(Table1[[#This Row],[Price ($)]]),MEDIAN(Table1[Price ($)]),Table1[[#This Row],[Price ($)]])</f>
        <v>130</v>
      </c>
      <c r="G21" s="2">
        <v>10</v>
      </c>
      <c r="H21" s="6" t="s">
        <v>65</v>
      </c>
      <c r="I21" s="10" t="str">
        <f>IF(ISBLANK(Table1[[#This Row],[Category]]),"Unknown",Table1[[#This Row],[Category]])</f>
        <v>Outdoor</v>
      </c>
      <c r="J21" s="19" t="str">
        <f>LEFT(Table1[[#This Row],[Product ID]],6)</f>
        <v>14-AUG</v>
      </c>
      <c r="K21" s="18" t="str">
        <f>Table1[[#This Row],[Manuf. date]]&amp;"-2026"</f>
        <v>14-AUG-2026</v>
      </c>
      <c r="L21" s="15" t="str">
        <f>RIGHT(Table1[[#This Row],[Product ID]],2)</f>
        <v>US</v>
      </c>
      <c r="M21" s="15" t="str">
        <f>CONCATENATE(Table1[[#This Row],[Brand Name]]," ",Table1[[#This Row],[Product  Name Cleaned]])</f>
        <v>Coleman Camping Tent</v>
      </c>
    </row>
    <row r="22" spans="1:13">
      <c r="A22" s="3" t="s">
        <v>92</v>
      </c>
      <c r="B22" s="1" t="s">
        <v>93</v>
      </c>
      <c r="C22" s="1" t="str">
        <f>CLEAN(PROPER(Table1[[#This Row],[Product Name]]))</f>
        <v>Camera</v>
      </c>
      <c r="D22" s="1" t="s">
        <v>94</v>
      </c>
      <c r="E22" s="1">
        <v>700</v>
      </c>
      <c r="F22" s="16">
        <f>IF(ISBLANK(Table1[[#This Row],[Price ($)]]),MEDIAN(Table1[Price ($)]),Table1[[#This Row],[Price ($)]])</f>
        <v>700</v>
      </c>
      <c r="G22" s="1">
        <v>50</v>
      </c>
      <c r="H22" s="5" t="s">
        <v>35</v>
      </c>
      <c r="I22" s="10" t="str">
        <f>IF(ISBLANK(Table1[[#This Row],[Category]]),"Unknown",Table1[[#This Row],[Category]])</f>
        <v>Electronics</v>
      </c>
      <c r="J22" s="19" t="str">
        <f>LEFT(Table1[[#This Row],[Product ID]],6)</f>
        <v>14-MAY</v>
      </c>
      <c r="K22" s="18" t="str">
        <f>Table1[[#This Row],[Manuf. date]]&amp;"-2026"</f>
        <v>14-MAY-2026</v>
      </c>
      <c r="L22" s="15" t="str">
        <f>RIGHT(Table1[[#This Row],[Product ID]],2)</f>
        <v>RU</v>
      </c>
      <c r="M22" s="15" t="str">
        <f>CONCATENATE(Table1[[#This Row],[Brand Name]]," ",Table1[[#This Row],[Product  Name Cleaned]])</f>
        <v>Nikon Camera</v>
      </c>
    </row>
    <row r="23" spans="1:13">
      <c r="A23" s="4" t="s">
        <v>95</v>
      </c>
      <c r="B23" s="2" t="s">
        <v>96</v>
      </c>
      <c r="C23" s="1" t="str">
        <f>CLEAN(PROPER(Table1[[#This Row],[Product Name]]))</f>
        <v>Microwave</v>
      </c>
      <c r="D23" s="2" t="s">
        <v>97</v>
      </c>
      <c r="E23" s="2">
        <v>80</v>
      </c>
      <c r="F23" s="17">
        <f>IF(ISBLANK(Table1[[#This Row],[Price ($)]]),MEDIAN(Table1[Price ($)]),Table1[[#This Row],[Price ($)]])</f>
        <v>80</v>
      </c>
      <c r="G23" s="2">
        <v>20</v>
      </c>
      <c r="H23" s="6" t="s">
        <v>43</v>
      </c>
      <c r="I23" s="10" t="str">
        <f>IF(ISBLANK(Table1[[#This Row],[Category]]),"Unknown",Table1[[#This Row],[Category]])</f>
        <v>Kitchen</v>
      </c>
      <c r="J23" s="19" t="str">
        <f>LEFT(Table1[[#This Row],[Product ID]],6)</f>
        <v>09-JAN</v>
      </c>
      <c r="K23" s="18" t="str">
        <f>Table1[[#This Row],[Manuf. date]]&amp;"-2026"</f>
        <v>09-JAN-2026</v>
      </c>
      <c r="L23" s="15" t="str">
        <f>RIGHT(Table1[[#This Row],[Product ID]],2)</f>
        <v>CA</v>
      </c>
      <c r="M23" s="15" t="str">
        <f>CONCATENATE(Table1[[#This Row],[Brand Name]]," ",Table1[[#This Row],[Product  Name Cleaned]])</f>
        <v>Panasonic Microwave</v>
      </c>
    </row>
    <row r="24" spans="1:13">
      <c r="A24" s="3" t="s">
        <v>98</v>
      </c>
      <c r="B24" s="1" t="s">
        <v>99</v>
      </c>
      <c r="C24" s="1" t="str">
        <f>CLEAN(PROPER(Table1[[#This Row],[Product Name]]))</f>
        <v>Fitness Tracker</v>
      </c>
      <c r="D24" s="1" t="s">
        <v>100</v>
      </c>
      <c r="E24" s="1">
        <v>150</v>
      </c>
      <c r="F24" s="16">
        <f>IF(ISBLANK(Table1[[#This Row],[Price ($)]]),MEDIAN(Table1[Price ($)]),Table1[[#This Row],[Price ($)]])</f>
        <v>150</v>
      </c>
      <c r="G24" s="1">
        <v>30</v>
      </c>
      <c r="H24" s="5"/>
      <c r="I24" s="10" t="str">
        <f>IF(ISBLANK(Table1[[#This Row],[Category]]),"Unknown",Table1[[#This Row],[Category]])</f>
        <v>Unknown</v>
      </c>
      <c r="J24" s="19" t="str">
        <f>LEFT(Table1[[#This Row],[Product ID]],6)</f>
        <v>19-JUL</v>
      </c>
      <c r="K24" s="18" t="str">
        <f>Table1[[#This Row],[Manuf. date]]&amp;"-2026"</f>
        <v>19-JUL-2026</v>
      </c>
      <c r="L24" s="15" t="str">
        <f>RIGHT(Table1[[#This Row],[Product ID]],2)</f>
        <v>BR</v>
      </c>
      <c r="M24" s="15" t="str">
        <f>CONCATENATE(Table1[[#This Row],[Brand Name]]," ",Table1[[#This Row],[Product  Name Cleaned]])</f>
        <v>Xiaomi Fitness Tracker</v>
      </c>
    </row>
    <row r="25" spans="1:13">
      <c r="A25" s="3" t="s">
        <v>101</v>
      </c>
      <c r="B25" s="1" t="s">
        <v>102</v>
      </c>
      <c r="C25" s="1" t="str">
        <f>CLEAN(PROPER(Table1[[#This Row],[Product Name]]))</f>
        <v>Smartphone</v>
      </c>
      <c r="D25" s="1" t="s">
        <v>103</v>
      </c>
      <c r="E25" s="1">
        <v>800</v>
      </c>
      <c r="F25" s="16">
        <f>IF(ISBLANK(Table1[[#This Row],[Price ($)]]),MEDIAN(Table1[Price ($)]),Table1[[#This Row],[Price ($)]])</f>
        <v>800</v>
      </c>
      <c r="G25" s="1">
        <v>45</v>
      </c>
      <c r="H25" s="5" t="s">
        <v>35</v>
      </c>
      <c r="I25" s="10" t="str">
        <f>IF(ISBLANK(Table1[[#This Row],[Category]]),"Unknown",Table1[[#This Row],[Category]])</f>
        <v>Electronics</v>
      </c>
      <c r="J25" s="19" t="str">
        <f>LEFT(Table1[[#This Row],[Product ID]],6)</f>
        <v>29-SEP</v>
      </c>
      <c r="K25" s="18" t="str">
        <f>Table1[[#This Row],[Manuf. date]]&amp;"-2026"</f>
        <v>29-SEP-2026</v>
      </c>
      <c r="L25" s="15" t="str">
        <f>RIGHT(Table1[[#This Row],[Product ID]],2)</f>
        <v>CA</v>
      </c>
      <c r="M25" s="15" t="str">
        <f>CONCATENATE(Table1[[#This Row],[Brand Name]]," ",Table1[[#This Row],[Product  Name Cleaned]])</f>
        <v>Google Smartphone</v>
      </c>
    </row>
    <row r="26" spans="1:13">
      <c r="A26" s="4" t="s">
        <v>104</v>
      </c>
      <c r="B26" s="2" t="s">
        <v>87</v>
      </c>
      <c r="C26" s="1" t="str">
        <f>CLEAN(PROPER(Table1[[#This Row],[Product Name]]))</f>
        <v>Sunglasses</v>
      </c>
      <c r="D26" s="2" t="s">
        <v>105</v>
      </c>
      <c r="E26" s="2"/>
      <c r="F26" s="17">
        <f>IF(ISBLANK(Table1[[#This Row],[Price ($)]]),MEDIAN(Table1[Price ($)]),Table1[[#This Row],[Price ($)]])</f>
        <v>130</v>
      </c>
      <c r="G26" s="2">
        <v>25</v>
      </c>
      <c r="H26" s="6" t="s">
        <v>39</v>
      </c>
      <c r="I26" s="10" t="str">
        <f>IF(ISBLANK(Table1[[#This Row],[Category]]),"Unknown",Table1[[#This Row],[Category]])</f>
        <v>Fashion</v>
      </c>
      <c r="J26" s="19" t="str">
        <f>LEFT(Table1[[#This Row],[Product ID]],6)</f>
        <v>03-JUN</v>
      </c>
      <c r="K26" s="18" t="str">
        <f>Table1[[#This Row],[Manuf. date]]&amp;"-2026"</f>
        <v>03-JUN-2026</v>
      </c>
      <c r="L26" s="15" t="str">
        <f>RIGHT(Table1[[#This Row],[Product ID]],2)</f>
        <v>CA</v>
      </c>
      <c r="M26" s="15" t="str">
        <f>CONCATENATE(Table1[[#This Row],[Brand Name]]," ",Table1[[#This Row],[Product  Name Cleaned]])</f>
        <v>Ray-Ban Sunglasses</v>
      </c>
    </row>
    <row r="27" spans="1:13">
      <c r="A27" s="3" t="s">
        <v>106</v>
      </c>
      <c r="B27" s="1" t="s">
        <v>57</v>
      </c>
      <c r="C27" s="1" t="str">
        <f>CLEAN(PROPER(Table1[[#This Row],[Product Name]]))</f>
        <v>Blender</v>
      </c>
      <c r="D27" s="1" t="s">
        <v>107</v>
      </c>
      <c r="E27" s="1">
        <v>400</v>
      </c>
      <c r="F27" s="16">
        <f>IF(ISBLANK(Table1[[#This Row],[Price ($)]]),MEDIAN(Table1[Price ($)]),Table1[[#This Row],[Price ($)]])</f>
        <v>400</v>
      </c>
      <c r="G27" s="1">
        <v>40</v>
      </c>
      <c r="H27" s="5" t="s">
        <v>43</v>
      </c>
      <c r="I27" s="10" t="str">
        <f>IF(ISBLANK(Table1[[#This Row],[Category]]),"Unknown",Table1[[#This Row],[Category]])</f>
        <v>Kitchen</v>
      </c>
      <c r="J27" s="19" t="str">
        <f>LEFT(Table1[[#This Row],[Product ID]],6)</f>
        <v>11-JUL</v>
      </c>
      <c r="K27" s="18" t="str">
        <f>Table1[[#This Row],[Manuf. date]]&amp;"-2026"</f>
        <v>11-JUL-2026</v>
      </c>
      <c r="L27" s="15" t="str">
        <f>RIGHT(Table1[[#This Row],[Product ID]],2)</f>
        <v>CA</v>
      </c>
      <c r="M27" s="15" t="str">
        <f>CONCATENATE(Table1[[#This Row],[Brand Name]]," ",Table1[[#This Row],[Product  Name Cleaned]])</f>
        <v>Vitamix Blender</v>
      </c>
    </row>
    <row r="28" spans="1:13">
      <c r="A28" s="3" t="s">
        <v>108</v>
      </c>
      <c r="B28" s="1" t="s">
        <v>109</v>
      </c>
      <c r="C28" s="1" t="str">
        <f>CLEAN(PROPER(Table1[[#This Row],[Product Name]]))</f>
        <v>Dress</v>
      </c>
      <c r="D28" s="1" t="s">
        <v>110</v>
      </c>
      <c r="E28" s="1">
        <v>60</v>
      </c>
      <c r="F28" s="16">
        <f>IF(ISBLANK(Table1[[#This Row],[Price ($)]]),MEDIAN(Table1[Price ($)]),Table1[[#This Row],[Price ($)]])</f>
        <v>60</v>
      </c>
      <c r="G28" s="1">
        <v>30</v>
      </c>
      <c r="H28" s="5" t="s">
        <v>39</v>
      </c>
      <c r="I28" s="10" t="str">
        <f>IF(ISBLANK(Table1[[#This Row],[Category]]),"Unknown",Table1[[#This Row],[Category]])</f>
        <v>Fashion</v>
      </c>
      <c r="J28" s="19" t="str">
        <f>LEFT(Table1[[#This Row],[Product ID]],6)</f>
        <v>07-MAR</v>
      </c>
      <c r="K28" s="18" t="str">
        <f>Table1[[#This Row],[Manuf. date]]&amp;"-2026"</f>
        <v>07-MAR-2026</v>
      </c>
      <c r="L28" s="15" t="str">
        <f>RIGHT(Table1[[#This Row],[Product ID]],2)</f>
        <v>CA</v>
      </c>
      <c r="M28" s="15" t="str">
        <f>CONCATENATE(Table1[[#This Row],[Brand Name]]," ",Table1[[#This Row],[Product  Name Cleaned]])</f>
        <v>Zara Dress</v>
      </c>
    </row>
    <row r="29" spans="1:13">
      <c r="A29" s="4" t="s">
        <v>111</v>
      </c>
      <c r="B29" s="2" t="s">
        <v>112</v>
      </c>
      <c r="C29" s="1" t="str">
        <f>CLEAN(PROPER(Table1[[#This Row],[Product Name]]))</f>
        <v>Toaster</v>
      </c>
      <c r="D29" s="2" t="s">
        <v>113</v>
      </c>
      <c r="E29" s="2">
        <v>40</v>
      </c>
      <c r="F29" s="17">
        <f>IF(ISBLANK(Table1[[#This Row],[Price ($)]]),MEDIAN(Table1[Price ($)]),Table1[[#This Row],[Price ($)]])</f>
        <v>40</v>
      </c>
      <c r="G29" s="2">
        <v>10</v>
      </c>
      <c r="H29" s="6" t="s">
        <v>43</v>
      </c>
      <c r="I29" s="10" t="str">
        <f>IF(ISBLANK(Table1[[#This Row],[Category]]),"Unknown",Table1[[#This Row],[Category]])</f>
        <v>Kitchen</v>
      </c>
      <c r="J29" s="19" t="str">
        <f>LEFT(Table1[[#This Row],[Product ID]],6)</f>
        <v>13-APR</v>
      </c>
      <c r="K29" s="18" t="str">
        <f>Table1[[#This Row],[Manuf. date]]&amp;"-2026"</f>
        <v>13-APR-2026</v>
      </c>
      <c r="L29" s="15" t="str">
        <f>RIGHT(Table1[[#This Row],[Product ID]],2)</f>
        <v>CA</v>
      </c>
      <c r="M29" s="15" t="str">
        <f>CONCATENATE(Table1[[#This Row],[Brand Name]]," ",Table1[[#This Row],[Product  Name Cleaned]])</f>
        <v>Hamilton Toaster</v>
      </c>
    </row>
    <row r="30" spans="1:13">
      <c r="A30" s="3" t="s">
        <v>114</v>
      </c>
      <c r="B30" s="1" t="s">
        <v>99</v>
      </c>
      <c r="C30" s="1" t="str">
        <f>CLEAN(PROPER(Table1[[#This Row],[Product Name]]))</f>
        <v>Fitness Tracker</v>
      </c>
      <c r="D30" s="1" t="s">
        <v>115</v>
      </c>
      <c r="E30" s="1">
        <v>130</v>
      </c>
      <c r="F30" s="16">
        <f>IF(ISBLANK(Table1[[#This Row],[Price ($)]]),MEDIAN(Table1[Price ($)]),Table1[[#This Row],[Price ($)]])</f>
        <v>130</v>
      </c>
      <c r="G30" s="1">
        <v>5</v>
      </c>
      <c r="H30" s="5" t="s">
        <v>35</v>
      </c>
      <c r="I30" s="10" t="str">
        <f>IF(ISBLANK(Table1[[#This Row],[Category]]),"Unknown",Table1[[#This Row],[Category]])</f>
        <v>Electronics</v>
      </c>
      <c r="J30" s="19" t="str">
        <f>LEFT(Table1[[#This Row],[Product ID]],6)</f>
        <v>24-MAY</v>
      </c>
      <c r="K30" s="18" t="str">
        <f>Table1[[#This Row],[Manuf. date]]&amp;"-2026"</f>
        <v>24-MAY-2026</v>
      </c>
      <c r="L30" s="15" t="str">
        <f>RIGHT(Table1[[#This Row],[Product ID]],2)</f>
        <v>CA</v>
      </c>
      <c r="M30" s="15" t="str">
        <f>CONCATENATE(Table1[[#This Row],[Brand Name]]," ",Table1[[#This Row],[Product  Name Cleaned]])</f>
        <v>Garmin Fitness Tracker</v>
      </c>
    </row>
    <row r="31" spans="1:13">
      <c r="A31" s="4" t="s">
        <v>116</v>
      </c>
      <c r="B31" s="2" t="s">
        <v>117</v>
      </c>
      <c r="C31" s="1" t="str">
        <f>CLEAN(PROPER(Table1[[#This Row],[Product Name]]))</f>
        <v>Jeans</v>
      </c>
      <c r="D31" s="2" t="s">
        <v>118</v>
      </c>
      <c r="E31" s="2">
        <v>50</v>
      </c>
      <c r="F31" s="17">
        <f>IF(ISBLANK(Table1[[#This Row],[Price ($)]]),MEDIAN(Table1[Price ($)]),Table1[[#This Row],[Price ($)]])</f>
        <v>50</v>
      </c>
      <c r="G31" s="2">
        <v>50</v>
      </c>
      <c r="H31" s="6" t="s">
        <v>39</v>
      </c>
      <c r="I31" s="10" t="str">
        <f>IF(ISBLANK(Table1[[#This Row],[Category]]),"Unknown",Table1[[#This Row],[Category]])</f>
        <v>Fashion</v>
      </c>
      <c r="J31" s="19" t="str">
        <f>LEFT(Table1[[#This Row],[Product ID]],6)</f>
        <v>02-DEC</v>
      </c>
      <c r="K31" s="18" t="str">
        <f>Table1[[#This Row],[Manuf. date]]&amp;"-2026"</f>
        <v>02-DEC-2026</v>
      </c>
      <c r="L31" s="15" t="str">
        <f>RIGHT(Table1[[#This Row],[Product ID]],2)</f>
        <v>CA</v>
      </c>
      <c r="M31" s="15" t="str">
        <f>CONCATENATE(Table1[[#This Row],[Brand Name]]," ",Table1[[#This Row],[Product  Name Cleaned]])</f>
        <v>Levi's Jeans</v>
      </c>
    </row>
    <row r="32" spans="1:13">
      <c r="A32" s="4" t="s">
        <v>119</v>
      </c>
      <c r="B32" s="2" t="s">
        <v>120</v>
      </c>
      <c r="C32" s="1" t="str">
        <f>CLEAN(PROPER(Table1[[#This Row],[Product Name]]))</f>
        <v>Watch</v>
      </c>
      <c r="D32" s="2" t="s">
        <v>121</v>
      </c>
      <c r="E32" s="2">
        <v>100</v>
      </c>
      <c r="F32" s="17">
        <f>IF(ISBLANK(Table1[[#This Row],[Price ($)]]),MEDIAN(Table1[Price ($)]),Table1[[#This Row],[Price ($)]])</f>
        <v>100</v>
      </c>
      <c r="G32" s="2">
        <v>20</v>
      </c>
      <c r="H32" s="6" t="s">
        <v>81</v>
      </c>
      <c r="I32" s="10" t="str">
        <f>IF(ISBLANK(Table1[[#This Row],[Category]]),"Unknown",Table1[[#This Row],[Category]])</f>
        <v>Accessories</v>
      </c>
      <c r="J32" s="19" t="str">
        <f>LEFT(Table1[[#This Row],[Product ID]],6)</f>
        <v>09-JUL</v>
      </c>
      <c r="K32" s="18" t="str">
        <f>Table1[[#This Row],[Manuf. date]]&amp;"-2026"</f>
        <v>09-JUL-2026</v>
      </c>
      <c r="L32" s="15" t="str">
        <f>RIGHT(Table1[[#This Row],[Product ID]],2)</f>
        <v>FR</v>
      </c>
      <c r="M32" s="15" t="str">
        <f>CONCATENATE(Table1[[#This Row],[Brand Name]]," ",Table1[[#This Row],[Product  Name Cleaned]])</f>
        <v>Casio Watch</v>
      </c>
    </row>
  </sheetData>
  <conditionalFormatting sqref="F2:F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2">
    <cfRule type="containsText" dxfId="18" priority="1" operator="containsText" text="Electronics">
      <formula>NOT(ISERROR(SEARCH("Electronics",I2)))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2026-10-26T07:24:10Z</dcterms:created>
  <dcterms:modified xsi:type="dcterms:W3CDTF">2026-10-26T09:18:05Z</dcterms:modified>
  <cp:category/>
  <cp:contentStatus/>
</cp:coreProperties>
</file>