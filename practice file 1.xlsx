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0"/>
  <workbookPr defaultThemeVersion="166925"/>
  <xr:revisionPtr revIDLastSave="109" documentId="11_E60897F41BE170836B02CE998F75CCDC64E183C8" xr6:coauthVersionLast="47" xr6:coauthVersionMax="47" xr10:uidLastSave="{294CE4E8-3D6F-4262-9C55-5E1A8FE14B0A}"/>
  <bookViews>
    <workbookView xWindow="240" yWindow="105" windowWidth="14805" windowHeight="8010" activeTab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5" i="2" l="1" a="1"/>
  <c r="G5" i="2"/>
  <c r="G6" i="2"/>
  <c r="G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<sst xmlns="http://schemas.openxmlformats.org/spreadsheetml/2006/main" count="28" uniqueCount="19">
  <si>
    <t>Date 
01-01-2026 
02-01-2026 
03-01-2026 
04-01-2026 
05-01-2026 
06-01-2026 
07-01-2026 
08-01-2026 
09-01-2026 
10-01-2026 
Product 
Laptop 
Mobile 
Headphones  
Laptop 
Keyboard 
Mouse 
Mobile 
Laptop 
Charger  
Tablet 
Sales_Amount 
25000 
18000 
300000 
4500 
5200 
19000 
26000 
24000 
Region 
South 
South 
South 
South 
North 
South 
East 
South 
West 
South</t>
  </si>
  <si>
    <t>Date</t>
  </si>
  <si>
    <t>Product</t>
  </si>
  <si>
    <t>Sales_Amount</t>
  </si>
  <si>
    <t>Region</t>
  </si>
  <si>
    <t>Laptop</t>
  </si>
  <si>
    <t>South</t>
  </si>
  <si>
    <t>Mobile</t>
  </si>
  <si>
    <t>Headphones</t>
  </si>
  <si>
    <t>median</t>
  </si>
  <si>
    <t>median of south region</t>
  </si>
  <si>
    <t>Keyboard</t>
  </si>
  <si>
    <t>North</t>
  </si>
  <si>
    <t>mean</t>
  </si>
  <si>
    <t>Mouse</t>
  </si>
  <si>
    <t>East</t>
  </si>
  <si>
    <t>Charger</t>
  </si>
  <si>
    <t>West</t>
  </si>
  <si>
    <t>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</si>
</sst>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14" fontId="1" fillId="2" borderId="5" xfId="0" applyNumberFormat="1" applyFont="1" applyFill="1" applyBorder="1" applyAlignment="1">
      <alignment horizontal="left"/>
    </xf>
    <xf numFmtId="14" fontId="1" fillId="2" borderId="6" xfId="0" applyNumberFormat="1" applyFont="1" applyFill="1" applyBorder="1" applyAlignment="1">
      <alignment horizontal="left"/>
    </xf>
    <xf numFmtId="14" fontId="1" fillId="2" borderId="4" xfId="0" applyNumberFormat="1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49" fontId="0" fillId="0" borderId="7" xfId="0" applyNumberFormat="1" applyBorder="1" applyAlignment="1">
      <alignment horizontal="left"/>
    </xf>
    <xf numFmtId="49" fontId="0" fillId="0" borderId="0" xfId="0" applyNumberFormat="1"/>
    <xf numFmtId="49" fontId="1" fillId="2" borderId="2" xfId="0" applyNumberFormat="1" applyFont="1" applyFill="1" applyBorder="1" applyAlignment="1">
      <alignment horizontal="left"/>
    </xf>
    <xf numFmtId="49" fontId="1" fillId="2" borderId="3" xfId="0" applyNumberFormat="1" applyFont="1" applyFill="1" applyBorder="1" applyAlignment="1">
      <alignment horizontal="left"/>
    </xf>
    <xf numFmtId="49" fontId="0" fillId="0" borderId="8" xfId="0" applyNumberFormat="1" applyBorder="1" applyAlignment="1">
      <alignment horizontal="left"/>
    </xf>
    <xf numFmtId="49" fontId="0" fillId="0" borderId="9" xfId="0" applyNumberFormat="1" applyBorder="1" applyAlignment="1">
      <alignment horizontal="left"/>
    </xf>
    <xf numFmtId="1" fontId="0" fillId="0" borderId="0" xfId="0" applyNumberFormat="1" applyAlignment="1">
      <alignment horizontal="right"/>
    </xf>
    <xf numFmtId="1" fontId="1" fillId="2" borderId="2" xfId="0" applyNumberFormat="1" applyFont="1" applyFill="1" applyBorder="1" applyAlignment="1">
      <alignment horizontal="right"/>
    </xf>
    <xf numFmtId="1" fontId="1" fillId="2" borderId="1" xfId="0" applyNumberFormat="1" applyFont="1" applyFill="1" applyBorder="1" applyAlignment="1">
      <alignment horizontal="right"/>
    </xf>
    <xf numFmtId="1" fontId="0" fillId="0" borderId="3" xfId="0" applyNumberFormat="1" applyBorder="1" applyAlignment="1">
      <alignment horizontal="right"/>
    </xf>
  </cellXfs>
  <cellStyles count="1">
    <cellStyle name="Normal" xfId="0" builtinId="0"/>
  </cellStyles>
  <dxfs count="9">
    <dxf>
      <numFmt numFmtId="30" formatCode="@"/>
      <alignment horizontal="left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numFmt numFmtId="1" formatCode="0"/>
      <fill>
        <patternFill patternType="solid">
          <fgColor indexed="64"/>
          <bgColor rgb="FFFFFFFF"/>
        </patternFill>
      </fill>
      <alignment horizontal="righ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numFmt numFmtId="19" formatCode="m/d/yyyy"/>
      <fill>
        <patternFill patternType="solid">
          <fgColor indexed="64"/>
          <bgColor rgb="FFFFFFFF"/>
        </patternFill>
      </fill>
      <alignment horizontal="left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rgb="FFFFFFFF"/>
        </patternFill>
      </fill>
      <alignment horizontal="left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C0602F-FA9A-474D-9AEF-60CB11482410}" name="Table1" displayName="Table1" ref="A1:D11" totalsRowShown="0" headerRowDxfId="8" dataDxfId="7" headerRowBorderDxfId="5" tableBorderDxfId="6" totalsRowBorderDxfId="4">
  <autoFilter ref="A1:D11" xr:uid="{A9C0602F-FA9A-474D-9AEF-60CB11482410}"/>
  <tableColumns count="4">
    <tableColumn id="1" xr3:uid="{3FD282A5-6ABF-4276-8DE8-B9DCB48A6C82}" name="Date" dataDxfId="3"/>
    <tableColumn id="2" xr3:uid="{AC1A3C8C-A7A7-4C4A-A81F-37A9F242D9A8}" name="Product" dataDxfId="2"/>
    <tableColumn id="3" xr3:uid="{9501CA2F-D6D3-4D2B-A047-AA9ADC216E49}" name="Sales_Amount" dataDxfId="1"/>
    <tableColumn id="4" xr3:uid="{B3DCADA2-6824-460F-BE1B-8030501B0FEA}" name="Reg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/>
  <sheetData>
    <row r="1" spans="1:1" ht="409.6">
      <c r="A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2FDD1-938A-4DBD-969A-4E299EF212D6}">
  <dimension ref="A1:G11"/>
  <sheetViews>
    <sheetView tabSelected="1" workbookViewId="0">
      <selection activeCell="G9" sqref="G9"/>
    </sheetView>
  </sheetViews>
  <sheetFormatPr defaultRowHeight="15"/>
  <cols>
    <col min="1" max="1" width="10.42578125" bestFit="1" customWidth="1"/>
    <col min="2" max="2" width="12.140625" bestFit="1" customWidth="1"/>
    <col min="3" max="3" width="10.42578125" bestFit="1" customWidth="1"/>
    <col min="4" max="4" width="12.140625" style="7" bestFit="1" customWidth="1"/>
    <col min="5" max="5" width="9.85546875" style="12" customWidth="1"/>
    <col min="6" max="6" width="21.85546875" style="7" bestFit="1" customWidth="1"/>
  </cols>
  <sheetData>
    <row r="1" spans="1:7">
      <c r="A1" s="4" t="s">
        <v>1</v>
      </c>
      <c r="B1" s="8" t="s">
        <v>2</v>
      </c>
      <c r="C1" s="13" t="s">
        <v>3</v>
      </c>
      <c r="D1" s="6" t="s">
        <v>4</v>
      </c>
    </row>
    <row r="2" spans="1:7">
      <c r="A2" s="2">
        <v>46023</v>
      </c>
      <c r="B2" s="5" t="s">
        <v>5</v>
      </c>
      <c r="C2" s="14">
        <v>25000</v>
      </c>
      <c r="D2" s="10" t="s">
        <v>6</v>
      </c>
    </row>
    <row r="3" spans="1:7">
      <c r="A3" s="2">
        <v>46054</v>
      </c>
      <c r="B3" s="5" t="s">
        <v>7</v>
      </c>
      <c r="C3" s="14">
        <v>18000</v>
      </c>
      <c r="D3" s="10" t="s">
        <v>6</v>
      </c>
    </row>
    <row r="4" spans="1:7">
      <c r="A4" s="2">
        <v>46082</v>
      </c>
      <c r="B4" s="5" t="s">
        <v>8</v>
      </c>
      <c r="C4" s="14"/>
      <c r="D4" s="10" t="s">
        <v>6</v>
      </c>
      <c r="F4" s="7" t="s">
        <v>9</v>
      </c>
      <c r="G4">
        <f>MEDIAN(Table1[Sales_Amount])</f>
        <v>21500</v>
      </c>
    </row>
    <row r="5" spans="1:7">
      <c r="A5" s="2">
        <v>46113</v>
      </c>
      <c r="B5" s="5" t="s">
        <v>5</v>
      </c>
      <c r="C5" s="14">
        <v>300000</v>
      </c>
      <c r="D5" s="10" t="s">
        <v>6</v>
      </c>
      <c r="F5" s="7" t="s">
        <v>10</v>
      </c>
      <c r="G5" cm="1">
        <f t="array" ref="G5">MEDIAN(_xlfn._xlws.FILTER(Table1[Sales_Amount],Table1[Region]="South"))</f>
        <v>24500</v>
      </c>
    </row>
    <row r="6" spans="1:7">
      <c r="A6" s="2">
        <v>46143</v>
      </c>
      <c r="B6" s="5" t="s">
        <v>11</v>
      </c>
      <c r="C6" s="14">
        <v>4500</v>
      </c>
      <c r="D6" s="10" t="s">
        <v>12</v>
      </c>
      <c r="F6" s="7" t="s">
        <v>13</v>
      </c>
      <c r="G6">
        <f>TRIMMEAN(_xlfn._xlws.FILTER(Table1[Sales_Amount],Table1[Sales_Amount]),0.2)</f>
        <v>52712.5</v>
      </c>
    </row>
    <row r="7" spans="1:7">
      <c r="A7" s="2">
        <v>46174</v>
      </c>
      <c r="B7" s="5" t="s">
        <v>14</v>
      </c>
      <c r="C7" s="14">
        <v>5200</v>
      </c>
      <c r="D7" s="10" t="s">
        <v>6</v>
      </c>
    </row>
    <row r="8" spans="1:7">
      <c r="A8" s="2">
        <v>46204</v>
      </c>
      <c r="B8" s="5" t="s">
        <v>7</v>
      </c>
      <c r="C8" s="14">
        <v>19000</v>
      </c>
      <c r="D8" s="10" t="s">
        <v>15</v>
      </c>
    </row>
    <row r="9" spans="1:7">
      <c r="A9" s="2">
        <v>46235</v>
      </c>
      <c r="B9" s="5" t="s">
        <v>5</v>
      </c>
      <c r="C9" s="14">
        <v>26000</v>
      </c>
      <c r="D9" s="10" t="s">
        <v>6</v>
      </c>
    </row>
    <row r="10" spans="1:7">
      <c r="A10" s="2">
        <v>46266</v>
      </c>
      <c r="B10" s="5" t="s">
        <v>16</v>
      </c>
      <c r="C10" s="14"/>
      <c r="D10" s="10" t="s">
        <v>17</v>
      </c>
    </row>
    <row r="11" spans="1:7">
      <c r="A11" s="3">
        <v>46296</v>
      </c>
      <c r="B11" s="9" t="s">
        <v>18</v>
      </c>
      <c r="C11" s="15">
        <v>24000</v>
      </c>
      <c r="D11" s="11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Sreelakshmi Pillai</cp:lastModifiedBy>
  <cp:revision/>
  <dcterms:created xsi:type="dcterms:W3CDTF">2026-10-15T11:55:36Z</dcterms:created>
  <dcterms:modified xsi:type="dcterms:W3CDTF">2026-10-15T12:56:39Z</dcterms:modified>
  <cp:category/>
  <cp:contentStatus/>
</cp:coreProperties>
</file>