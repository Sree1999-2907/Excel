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89" documentId="11_E60897F41BE170836B02CE998F75CCDC64E183C8" xr6:coauthVersionLast="47" xr6:coauthVersionMax="47" xr10:uidLastSave="{BBB7E5A9-D923-4FFC-B18D-E25BFD317C5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O8" i="1"/>
  <c r="O7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<sst xmlns="http://schemas.openxmlformats.org/spreadsheetml/2006/main" count="153" uniqueCount="104">
  <si>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</si>
  <si>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</si>
  <si>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</si>
  <si>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</si>
  <si>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</si>
  <si>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</si>
  <si>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</si>
  <si>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</si>
  <si>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</si>
  <si>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</si>
  <si>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28-JAN-US</t>
  </si>
  <si>
    <t>Laptop</t>
  </si>
  <si>
    <t>Dell</t>
  </si>
  <si>
    <t>Electronics</t>
  </si>
  <si>
    <t>total price</t>
  </si>
  <si>
    <t>15-FEB-US</t>
  </si>
  <si>
    <t>Sneakers</t>
  </si>
  <si>
    <t>Nike</t>
  </si>
  <si>
    <t>Fashion</t>
  </si>
  <si>
    <t>no of products</t>
  </si>
  <si>
    <t>03-MAR-US</t>
  </si>
  <si>
    <t>Coffee Maker</t>
  </si>
  <si>
    <t>Keurig</t>
  </si>
  <si>
    <t>Kitchen</t>
  </si>
  <si>
    <t>average</t>
  </si>
  <si>
    <t>11-APR-US</t>
  </si>
  <si>
    <t>Smartphone</t>
  </si>
  <si>
    <t>Samsung</t>
  </si>
  <si>
    <t>min price</t>
  </si>
  <si>
    <t>22-MAY-US</t>
  </si>
  <si>
    <t>Backpack</t>
  </si>
  <si>
    <t>North Face</t>
  </si>
  <si>
    <t>Outdoor</t>
  </si>
  <si>
    <t>max price</t>
  </si>
  <si>
    <t>07-JUN-UK</t>
  </si>
  <si>
    <t>Headphones</t>
  </si>
  <si>
    <t>Sony</t>
  </si>
  <si>
    <t>total price of electronics</t>
  </si>
  <si>
    <t>19-JUL-UK</t>
  </si>
  <si>
    <t>T-shirt</t>
  </si>
  <si>
    <t>Adidas</t>
  </si>
  <si>
    <t>price &lt; 100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</si>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</sst>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readingOrder="1"/>
    </xf>
    <xf numFmtId="0" fontId="2" fillId="3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2" fillId="3" borderId="3" xfId="0" applyFont="1" applyFill="1" applyBorder="1" applyAlignment="1">
      <alignment readingOrder="1"/>
    </xf>
    <xf numFmtId="0" fontId="1" fillId="2" borderId="4" xfId="0" applyFont="1" applyFill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3" borderId="5" xfId="0" applyFont="1" applyFill="1" applyBorder="1" applyAlignment="1">
      <alignment readingOrder="1"/>
    </xf>
    <xf numFmtId="0" fontId="2" fillId="3" borderId="6" xfId="0" applyFont="1" applyFill="1" applyBorder="1" applyAlignment="1">
      <alignment readingOrder="1"/>
    </xf>
    <xf numFmtId="0" fontId="1" fillId="2" borderId="7" xfId="0" applyFont="1" applyFill="1" applyBorder="1" applyAlignment="1">
      <alignment readingOrder="1"/>
    </xf>
    <xf numFmtId="0" fontId="2" fillId="3" borderId="8" xfId="0" applyFont="1" applyFill="1" applyBorder="1" applyAlignment="1">
      <alignment readingOrder="1"/>
    </xf>
    <xf numFmtId="0" fontId="2" fillId="3" borderId="9" xfId="0" applyFont="1" applyFill="1" applyBorder="1" applyAlignment="1">
      <alignment readingOrder="1"/>
    </xf>
    <xf numFmtId="0" fontId="0" fillId="0" borderId="0" xfId="0" applyAlignme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4DD0E1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9B4CD3-3EA1-40C3-9DB8-F0322DC243FB}" name="Table1" displayName="Table1" ref="A1:J35" totalsRowShown="0" headerRowDxfId="14" dataDxfId="13" headerRowBorderDxfId="11" tableBorderDxfId="12" totalsRowBorderDxfId="10">
  <autoFilter ref="A1:J35" xr:uid="{7B9B4CD3-3EA1-40C3-9DB8-F0322DC243FB}"/>
  <tableColumns count="10">
    <tableColumn id="1" xr3:uid="{6AD7C1C8-5AD9-41E5-B079-CB3B22186A80}" name="Product ID" dataDxfId="9"/>
    <tableColumn id="2" xr3:uid="{BC366F77-D96F-485C-9171-374862D0B892}" name="Product Name" dataDxfId="8"/>
    <tableColumn id="3" xr3:uid="{301097ED-1F0D-4880-B9CA-777D1EC81F8F}" name="Brand Name" dataDxfId="7"/>
    <tableColumn id="4" xr3:uid="{F58BAE62-1437-4433-A3AF-F24AF9F983A5}" name="Price ($)" dataDxfId="6"/>
    <tableColumn id="5" xr3:uid="{7046DA46-9642-4940-ADA9-3E92FDA018ED}" name="Quantity" dataDxfId="5"/>
    <tableColumn id="6" xr3:uid="{B7298F68-5B66-4B7C-A6AE-C024520E765D}" name="Category" dataDxfId="4"/>
    <tableColumn id="7" xr3:uid="{1F9F4C46-9238-4E99-A910-39F56B845041}" name="Price Range" dataDxfId="3">
      <calculatedColumnFormula>IF(Table1[[#This Row],[Price ($)]]&gt;500,"High Price","Standard Price")</calculatedColumnFormula>
    </tableColumn>
    <tableColumn id="8" xr3:uid="{EE46D60A-D374-4B38-B86C-B930BFDE3262}" name="Day" dataDxfId="2">
      <calculatedColumnFormula>LEFT(Table1[[#This Row],[Product ID]],2)</calculatedColumnFormula>
    </tableColumn>
    <tableColumn id="9" xr3:uid="{8A1C0A55-B225-476A-907C-763017365DC6}" name="Country Code" dataDxfId="1">
      <calculatedColumnFormula>RIGHT(Table1[[#This Row],[Product ID]],2)</calculatedColumnFormula>
    </tableColumn>
    <tableColumn id="10" xr3:uid="{1C511F68-8DB6-4A6B-A967-3D9BD8050C8A}" name="Month" dataDxfId="0">
      <calculatedColumnFormula>MID(Table1[[#This Row],[Product ID]],4,3)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workbookViewId="0">
      <selection activeCell="M2" sqref="M2:P8"/>
    </sheetView>
  </sheetViews>
  <sheetFormatPr defaultRowHeight="15"/>
  <cols>
    <col min="1" max="1" width="12.85546875" bestFit="1" customWidth="1"/>
    <col min="2" max="2" width="16.140625" bestFit="1" customWidth="1"/>
    <col min="3" max="3" width="14.42578125" bestFit="1" customWidth="1"/>
    <col min="4" max="4" width="10.7109375" bestFit="1" customWidth="1"/>
    <col min="5" max="5" width="11" bestFit="1" customWidth="1"/>
    <col min="6" max="6" width="11.42578125" bestFit="1" customWidth="1"/>
    <col min="7" max="7" width="14.140625" bestFit="1" customWidth="1"/>
    <col min="8" max="8" width="6.85546875" bestFit="1" customWidth="1"/>
    <col min="9" max="9" width="15.85546875" bestFit="1" customWidth="1"/>
    <col min="11" max="11" width="5.28515625" customWidth="1"/>
    <col min="12" max="12" width="14" bestFit="1" customWidth="1"/>
    <col min="13" max="13" width="11.5703125" customWidth="1"/>
  </cols>
  <sheetData>
    <row r="1" spans="1:15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9" t="s">
        <v>9</v>
      </c>
    </row>
    <row r="2" spans="1:15">
      <c r="A2" s="6" t="s">
        <v>10</v>
      </c>
      <c r="B2" s="1" t="s">
        <v>11</v>
      </c>
      <c r="C2" s="1" t="s">
        <v>12</v>
      </c>
      <c r="D2" s="1">
        <v>1000</v>
      </c>
      <c r="E2" s="1">
        <v>30</v>
      </c>
      <c r="F2" s="1" t="s">
        <v>13</v>
      </c>
      <c r="G2" s="2" t="str">
        <f>IF(Table1[[#This Row],[Price ($)]]&gt;500,"High Price","Standard Price")</f>
        <v>High Price</v>
      </c>
      <c r="H2" s="2" t="str">
        <f>LEFT(Table1[[#This Row],[Product ID]],2)</f>
        <v>28</v>
      </c>
      <c r="I2" s="2" t="str">
        <f>RIGHT(Table1[[#This Row],[Product ID]],2)</f>
        <v>US</v>
      </c>
      <c r="J2" s="10" t="str">
        <f>MID(Table1[[#This Row],[Product ID]],4,3)</f>
        <v>JAN</v>
      </c>
      <c r="N2" t="s">
        <v>14</v>
      </c>
      <c r="O2">
        <f>SUM(Table1[Price ($)])</f>
        <v>10100</v>
      </c>
    </row>
    <row r="3" spans="1:15">
      <c r="A3" s="7" t="s">
        <v>15</v>
      </c>
      <c r="B3" s="2" t="s">
        <v>16</v>
      </c>
      <c r="C3" s="2" t="s">
        <v>17</v>
      </c>
      <c r="D3" s="2">
        <v>80</v>
      </c>
      <c r="E3" s="2">
        <v>15</v>
      </c>
      <c r="F3" s="2" t="s">
        <v>18</v>
      </c>
      <c r="G3" s="2" t="str">
        <f>IF(Table1[[#This Row],[Price ($)]]&gt;500,"High Price","Standard Price")</f>
        <v>Standard Price</v>
      </c>
      <c r="H3" s="2" t="str">
        <f>LEFT(Table1[[#This Row],[Product ID]],2)</f>
        <v>15</v>
      </c>
      <c r="I3" s="2" t="str">
        <f>RIGHT(Table1[[#This Row],[Product ID]],2)</f>
        <v>US</v>
      </c>
      <c r="J3" s="10" t="str">
        <f>MID(Table1[[#This Row],[Product ID]],4,3)</f>
        <v>FEB</v>
      </c>
      <c r="N3" t="s">
        <v>19</v>
      </c>
      <c r="O3">
        <f>COUNTA(Table1[Product Name])</f>
        <v>34</v>
      </c>
    </row>
    <row r="4" spans="1:15">
      <c r="A4" s="6" t="s">
        <v>20</v>
      </c>
      <c r="B4" s="1" t="s">
        <v>21</v>
      </c>
      <c r="C4" s="1" t="s">
        <v>22</v>
      </c>
      <c r="D4" s="1">
        <v>130</v>
      </c>
      <c r="E4" s="1">
        <v>40</v>
      </c>
      <c r="F4" s="1" t="s">
        <v>23</v>
      </c>
      <c r="G4" s="2" t="str">
        <f>IF(Table1[[#This Row],[Price ($)]]&gt;500,"High Price","Standard Price")</f>
        <v>Standard Price</v>
      </c>
      <c r="H4" s="2" t="str">
        <f>LEFT(Table1[[#This Row],[Product ID]],2)</f>
        <v>03</v>
      </c>
      <c r="I4" s="2" t="str">
        <f>RIGHT(Table1[[#This Row],[Product ID]],2)</f>
        <v>US</v>
      </c>
      <c r="J4" s="10" t="str">
        <f>MID(Table1[[#This Row],[Product ID]],4,3)</f>
        <v>MAR</v>
      </c>
      <c r="N4" t="s">
        <v>24</v>
      </c>
      <c r="O4">
        <f>AVERAGE(D:D)</f>
        <v>297.05882352941177</v>
      </c>
    </row>
    <row r="5" spans="1:15">
      <c r="A5" s="7" t="s">
        <v>25</v>
      </c>
      <c r="B5" s="2" t="s">
        <v>26</v>
      </c>
      <c r="C5" s="2" t="s">
        <v>27</v>
      </c>
      <c r="D5" s="2">
        <v>900</v>
      </c>
      <c r="E5" s="2">
        <v>25</v>
      </c>
      <c r="F5" s="2" t="s">
        <v>13</v>
      </c>
      <c r="G5" s="2" t="str">
        <f>IF(Table1[[#This Row],[Price ($)]]&gt;500,"High Price","Standard Price")</f>
        <v>High Price</v>
      </c>
      <c r="H5" s="2" t="str">
        <f>LEFT(Table1[[#This Row],[Product ID]],2)</f>
        <v>11</v>
      </c>
      <c r="I5" s="2" t="str">
        <f>RIGHT(Table1[[#This Row],[Product ID]],2)</f>
        <v>US</v>
      </c>
      <c r="J5" s="10" t="str">
        <f>MID(Table1[[#This Row],[Product ID]],4,3)</f>
        <v>APR</v>
      </c>
      <c r="N5" t="s">
        <v>28</v>
      </c>
      <c r="O5">
        <f>MIN(Table1[Price ($)])</f>
        <v>30</v>
      </c>
    </row>
    <row r="6" spans="1:15">
      <c r="A6" s="6" t="s">
        <v>29</v>
      </c>
      <c r="B6" s="1" t="s">
        <v>30</v>
      </c>
      <c r="C6" s="1" t="s">
        <v>31</v>
      </c>
      <c r="D6" s="1">
        <v>70</v>
      </c>
      <c r="E6" s="1">
        <v>20</v>
      </c>
      <c r="F6" s="1" t="s">
        <v>32</v>
      </c>
      <c r="G6" s="2" t="str">
        <f>IF(Table1[[#This Row],[Price ($)]]&gt;500,"High Price","Standard Price")</f>
        <v>Standard Price</v>
      </c>
      <c r="H6" s="2" t="str">
        <f>LEFT(Table1[[#This Row],[Product ID]],2)</f>
        <v>22</v>
      </c>
      <c r="I6" s="2" t="str">
        <f>RIGHT(Table1[[#This Row],[Product ID]],2)</f>
        <v>US</v>
      </c>
      <c r="J6" s="10" t="str">
        <f>MID(Table1[[#This Row],[Product ID]],4,3)</f>
        <v>MAY</v>
      </c>
      <c r="N6" t="s">
        <v>33</v>
      </c>
      <c r="O6">
        <f>MAX(Table1[Price ($)])</f>
        <v>1000</v>
      </c>
    </row>
    <row r="7" spans="1:15">
      <c r="A7" s="7" t="s">
        <v>34</v>
      </c>
      <c r="B7" s="2" t="s">
        <v>35</v>
      </c>
      <c r="C7" s="2" t="s">
        <v>36</v>
      </c>
      <c r="D7" s="2">
        <v>200</v>
      </c>
      <c r="E7" s="2">
        <v>45</v>
      </c>
      <c r="F7" s="2" t="s">
        <v>13</v>
      </c>
      <c r="G7" s="2" t="str">
        <f>IF(Table1[[#This Row],[Price ($)]]&gt;500,"High Price","Standard Price")</f>
        <v>Standard Price</v>
      </c>
      <c r="H7" s="2" t="str">
        <f>LEFT(Table1[[#This Row],[Product ID]],2)</f>
        <v>07</v>
      </c>
      <c r="I7" s="2" t="str">
        <f>RIGHT(Table1[[#This Row],[Product ID]],2)</f>
        <v>UK</v>
      </c>
      <c r="J7" s="10" t="str">
        <f>MID(Table1[[#This Row],[Product ID]],4,3)</f>
        <v>JUN</v>
      </c>
      <c r="M7" s="12" t="s">
        <v>37</v>
      </c>
      <c r="N7" s="12"/>
      <c r="O7">
        <f>SUMIF(Table1[Category],"Electronics",D:D)</f>
        <v>1720</v>
      </c>
    </row>
    <row r="8" spans="1:15">
      <c r="A8" s="6" t="s">
        <v>38</v>
      </c>
      <c r="B8" s="1" t="s">
        <v>39</v>
      </c>
      <c r="C8" s="1" t="s">
        <v>40</v>
      </c>
      <c r="D8" s="1">
        <v>30</v>
      </c>
      <c r="E8" s="1">
        <v>5</v>
      </c>
      <c r="F8" s="1" t="s">
        <v>18</v>
      </c>
      <c r="G8" s="2" t="str">
        <f>IF(Table1[[#This Row],[Price ($)]]&gt;500,"High Price","Standard Price")</f>
        <v>Standard Price</v>
      </c>
      <c r="H8" s="2" t="str">
        <f>LEFT(Table1[[#This Row],[Product ID]],2)</f>
        <v>19</v>
      </c>
      <c r="I8" s="2" t="str">
        <f>RIGHT(Table1[[#This Row],[Product ID]],2)</f>
        <v>UK</v>
      </c>
      <c r="J8" s="10" t="str">
        <f>MID(Table1[[#This Row],[Product ID]],4,3)</f>
        <v>JUL</v>
      </c>
      <c r="M8" s="12" t="s">
        <v>41</v>
      </c>
      <c r="N8" s="12"/>
      <c r="O8">
        <f>COUNTIF(Table1[Price ($)],"&lt;100")</f>
        <v>11</v>
      </c>
    </row>
    <row r="9" spans="1:15">
      <c r="A9" s="7" t="s">
        <v>42</v>
      </c>
      <c r="B9" s="2" t="s">
        <v>43</v>
      </c>
      <c r="C9" s="2" t="s">
        <v>44</v>
      </c>
      <c r="D9" s="2">
        <v>90</v>
      </c>
      <c r="E9" s="2">
        <v>35</v>
      </c>
      <c r="F9" s="2" t="s">
        <v>23</v>
      </c>
      <c r="G9" s="2" t="str">
        <f>IF(Table1[[#This Row],[Price ($)]]&gt;500,"High Price","Standard Price")</f>
        <v>Standard Price</v>
      </c>
      <c r="H9" s="2" t="str">
        <f>LEFT(Table1[[#This Row],[Product ID]],2)</f>
        <v>23</v>
      </c>
      <c r="I9" s="2" t="str">
        <f>RIGHT(Table1[[#This Row],[Product ID]],2)</f>
        <v>UK</v>
      </c>
      <c r="J9" s="10" t="str">
        <f>MID(Table1[[#This Row],[Product ID]],4,3)</f>
        <v>AUG</v>
      </c>
    </row>
    <row r="10" spans="1:15">
      <c r="A10" s="6" t="s">
        <v>45</v>
      </c>
      <c r="B10" s="1" t="s">
        <v>46</v>
      </c>
      <c r="C10" s="1" t="s">
        <v>47</v>
      </c>
      <c r="D10" s="1">
        <v>500</v>
      </c>
      <c r="E10" s="1">
        <v>50</v>
      </c>
      <c r="F10" s="1" t="s">
        <v>13</v>
      </c>
      <c r="G10" s="2" t="str">
        <f>IF(Table1[[#This Row],[Price ($)]]&gt;500,"High Price","Standard Price")</f>
        <v>Standard Price</v>
      </c>
      <c r="H10" s="2" t="str">
        <f>LEFT(Table1[[#This Row],[Product ID]],2)</f>
        <v>05</v>
      </c>
      <c r="I10" s="2" t="str">
        <f>RIGHT(Table1[[#This Row],[Product ID]],2)</f>
        <v>UK</v>
      </c>
      <c r="J10" s="10" t="str">
        <f>MID(Table1[[#This Row],[Product ID]],4,3)</f>
        <v>SEP</v>
      </c>
    </row>
    <row r="11" spans="1:15">
      <c r="A11" s="7" t="s">
        <v>48</v>
      </c>
      <c r="B11" s="2" t="s">
        <v>49</v>
      </c>
      <c r="C11" s="2" t="s">
        <v>50</v>
      </c>
      <c r="D11" s="2">
        <v>130</v>
      </c>
      <c r="E11" s="2">
        <v>10</v>
      </c>
      <c r="F11" s="2" t="s">
        <v>32</v>
      </c>
      <c r="G11" s="2" t="str">
        <f>IF(Table1[[#This Row],[Price ($)]]&gt;500,"High Price","Standard Price")</f>
        <v>Standard Price</v>
      </c>
      <c r="H11" s="2" t="str">
        <f>LEFT(Table1[[#This Row],[Product ID]],2)</f>
        <v>14</v>
      </c>
      <c r="I11" s="2" t="str">
        <f>RIGHT(Table1[[#This Row],[Product ID]],2)</f>
        <v>UK</v>
      </c>
      <c r="J11" s="10" t="str">
        <f>MID(Table1[[#This Row],[Product ID]],4,3)</f>
        <v>OCT</v>
      </c>
    </row>
    <row r="12" spans="1:15">
      <c r="A12" s="6" t="s">
        <v>51</v>
      </c>
      <c r="B12" s="1" t="s">
        <v>11</v>
      </c>
      <c r="C12" s="1" t="s">
        <v>52</v>
      </c>
      <c r="D12" s="1">
        <v>950</v>
      </c>
      <c r="E12" s="1">
        <v>25</v>
      </c>
      <c r="F12" s="1" t="s">
        <v>13</v>
      </c>
      <c r="G12" s="2" t="str">
        <f>IF(Table1[[#This Row],[Price ($)]]&gt;500,"High Price","Standard Price")</f>
        <v>High Price</v>
      </c>
      <c r="H12" s="2" t="str">
        <f>LEFT(Table1[[#This Row],[Product ID]],2)</f>
        <v>17</v>
      </c>
      <c r="I12" s="2" t="str">
        <f>RIGHT(Table1[[#This Row],[Product ID]],2)</f>
        <v>IN</v>
      </c>
      <c r="J12" s="10" t="str">
        <f>MID(Table1[[#This Row],[Product ID]],4,3)</f>
        <v>JUN</v>
      </c>
    </row>
    <row r="13" spans="1:15">
      <c r="A13" s="7" t="s">
        <v>53</v>
      </c>
      <c r="B13" s="2" t="s">
        <v>16</v>
      </c>
      <c r="C13" s="2" t="s">
        <v>40</v>
      </c>
      <c r="D13" s="2">
        <v>90</v>
      </c>
      <c r="E13" s="2">
        <v>40</v>
      </c>
      <c r="F13" s="2" t="s">
        <v>18</v>
      </c>
      <c r="G13" s="2" t="str">
        <f>IF(Table1[[#This Row],[Price ($)]]&gt;500,"High Price","Standard Price")</f>
        <v>Standard Price</v>
      </c>
      <c r="H13" s="2" t="str">
        <f>LEFT(Table1[[#This Row],[Product ID]],2)</f>
        <v>25</v>
      </c>
      <c r="I13" s="2" t="str">
        <f>RIGHT(Table1[[#This Row],[Product ID]],2)</f>
        <v>AU</v>
      </c>
      <c r="J13" s="10" t="str">
        <f>MID(Table1[[#This Row],[Product ID]],4,3)</f>
        <v>NOV</v>
      </c>
    </row>
    <row r="14" spans="1:15">
      <c r="A14" s="6" t="s">
        <v>54</v>
      </c>
      <c r="B14" s="1" t="s">
        <v>21</v>
      </c>
      <c r="C14" s="1" t="s">
        <v>55</v>
      </c>
      <c r="D14" s="1">
        <v>120</v>
      </c>
      <c r="E14" s="1">
        <v>35</v>
      </c>
      <c r="F14" s="1" t="s">
        <v>23</v>
      </c>
      <c r="G14" s="2" t="str">
        <f>IF(Table1[[#This Row],[Price ($)]]&gt;500,"High Price","Standard Price")</f>
        <v>Standard Price</v>
      </c>
      <c r="H14" s="2" t="str">
        <f>LEFT(Table1[[#This Row],[Product ID]],2)</f>
        <v>08</v>
      </c>
      <c r="I14" s="2" t="str">
        <f>RIGHT(Table1[[#This Row],[Product ID]],2)</f>
        <v>DE</v>
      </c>
      <c r="J14" s="10" t="str">
        <f>MID(Table1[[#This Row],[Product ID]],4,3)</f>
        <v>DEC</v>
      </c>
    </row>
    <row r="15" spans="1:15">
      <c r="A15" s="7" t="s">
        <v>56</v>
      </c>
      <c r="B15" s="2" t="s">
        <v>57</v>
      </c>
      <c r="C15" s="2" t="s">
        <v>58</v>
      </c>
      <c r="D15" s="2">
        <v>150</v>
      </c>
      <c r="E15" s="2">
        <v>15</v>
      </c>
      <c r="F15" s="2" t="s">
        <v>13</v>
      </c>
      <c r="G15" s="2" t="str">
        <f>IF(Table1[[#This Row],[Price ($)]]&gt;500,"High Price","Standard Price")</f>
        <v>Standard Price</v>
      </c>
      <c r="H15" s="2" t="str">
        <f>LEFT(Table1[[#This Row],[Product ID]],2)</f>
        <v>18</v>
      </c>
      <c r="I15" s="2" t="str">
        <f>RIGHT(Table1[[#This Row],[Product ID]],2)</f>
        <v>CA</v>
      </c>
      <c r="J15" s="10" t="str">
        <f>MID(Table1[[#This Row],[Product ID]],4,3)</f>
        <v>FEB</v>
      </c>
    </row>
    <row r="16" spans="1:15">
      <c r="A16" s="6" t="s">
        <v>59</v>
      </c>
      <c r="B16" s="1" t="s">
        <v>35</v>
      </c>
      <c r="C16" s="1" t="s">
        <v>60</v>
      </c>
      <c r="D16" s="1">
        <v>250</v>
      </c>
      <c r="E16" s="1">
        <v>20</v>
      </c>
      <c r="F16" s="1" t="s">
        <v>13</v>
      </c>
      <c r="G16" s="2" t="str">
        <f>IF(Table1[[#This Row],[Price ($)]]&gt;500,"High Price","Standard Price")</f>
        <v>Standard Price</v>
      </c>
      <c r="H16" s="2" t="str">
        <f>LEFT(Table1[[#This Row],[Product ID]],2)</f>
        <v>16</v>
      </c>
      <c r="I16" s="2" t="str">
        <f>RIGHT(Table1[[#This Row],[Product ID]],2)</f>
        <v>ES</v>
      </c>
      <c r="J16" s="10" t="str">
        <f>MID(Table1[[#This Row],[Product ID]],4,3)</f>
        <v>APR</v>
      </c>
    </row>
    <row r="17" spans="1:10">
      <c r="A17" s="7" t="s">
        <v>61</v>
      </c>
      <c r="B17" s="2" t="s">
        <v>62</v>
      </c>
      <c r="C17" s="2" t="s">
        <v>63</v>
      </c>
      <c r="D17" s="2">
        <v>50</v>
      </c>
      <c r="E17" s="2">
        <v>35</v>
      </c>
      <c r="F17" s="2" t="s">
        <v>64</v>
      </c>
      <c r="G17" s="2" t="str">
        <f>IF(Table1[[#This Row],[Price ($)]]&gt;500,"High Price","Standard Price")</f>
        <v>Standard Price</v>
      </c>
      <c r="H17" s="2" t="str">
        <f>LEFT(Table1[[#This Row],[Product ID]],2)</f>
        <v>21</v>
      </c>
      <c r="I17" s="2" t="str">
        <f>RIGHT(Table1[[#This Row],[Product ID]],2)</f>
        <v>CA</v>
      </c>
      <c r="J17" s="10" t="str">
        <f>MID(Table1[[#This Row],[Product ID]],4,3)</f>
        <v>AUG</v>
      </c>
    </row>
    <row r="18" spans="1:10">
      <c r="A18" s="6" t="s">
        <v>65</v>
      </c>
      <c r="B18" s="1" t="s">
        <v>57</v>
      </c>
      <c r="C18" s="1" t="s">
        <v>66</v>
      </c>
      <c r="D18" s="1">
        <v>160</v>
      </c>
      <c r="E18" s="1">
        <v>15</v>
      </c>
      <c r="F18" s="1" t="s">
        <v>13</v>
      </c>
      <c r="G18" s="2" t="str">
        <f>IF(Table1[[#This Row],[Price ($)]]&gt;500,"High Price","Standard Price")</f>
        <v>Standard Price</v>
      </c>
      <c r="H18" s="2" t="str">
        <f>LEFT(Table1[[#This Row],[Product ID]],2)</f>
        <v>20</v>
      </c>
      <c r="I18" s="2" t="str">
        <f>RIGHT(Table1[[#This Row],[Product ID]],2)</f>
        <v>CN</v>
      </c>
      <c r="J18" s="10" t="str">
        <f>MID(Table1[[#This Row],[Product ID]],4,3)</f>
        <v>AUG</v>
      </c>
    </row>
    <row r="19" spans="1:10">
      <c r="A19" s="7" t="s">
        <v>67</v>
      </c>
      <c r="B19" s="2" t="s">
        <v>11</v>
      </c>
      <c r="C19" s="2" t="s">
        <v>68</v>
      </c>
      <c r="D19" s="2">
        <v>980</v>
      </c>
      <c r="E19" s="2">
        <v>10</v>
      </c>
      <c r="F19" s="2" t="s">
        <v>13</v>
      </c>
      <c r="G19" s="2" t="str">
        <f>IF(Table1[[#This Row],[Price ($)]]&gt;500,"High Price","Standard Price")</f>
        <v>High Price</v>
      </c>
      <c r="H19" s="2" t="str">
        <f>LEFT(Table1[[#This Row],[Product ID]],2)</f>
        <v>27</v>
      </c>
      <c r="I19" s="2" t="str">
        <f>RIGHT(Table1[[#This Row],[Product ID]],2)</f>
        <v>IT</v>
      </c>
      <c r="J19" s="10" t="str">
        <f>MID(Table1[[#This Row],[Product ID]],4,3)</f>
        <v>JAN</v>
      </c>
    </row>
    <row r="20" spans="1:10">
      <c r="A20" s="6" t="s">
        <v>69</v>
      </c>
      <c r="B20" s="1" t="s">
        <v>70</v>
      </c>
      <c r="C20" s="1" t="s">
        <v>71</v>
      </c>
      <c r="D20" s="1">
        <v>150</v>
      </c>
      <c r="E20" s="1">
        <v>15</v>
      </c>
      <c r="F20" s="1" t="s">
        <v>18</v>
      </c>
      <c r="G20" s="2" t="str">
        <f>IF(Table1[[#This Row],[Price ($)]]&gt;500,"High Price","Standard Price")</f>
        <v>Standard Price</v>
      </c>
      <c r="H20" s="2" t="str">
        <f>LEFT(Table1[[#This Row],[Product ID]],2)</f>
        <v>01</v>
      </c>
      <c r="I20" s="2" t="str">
        <f>RIGHT(Table1[[#This Row],[Product ID]],2)</f>
        <v>UK</v>
      </c>
      <c r="J20" s="10" t="str">
        <f>MID(Table1[[#This Row],[Product ID]],4,3)</f>
        <v>MAR</v>
      </c>
    </row>
    <row r="21" spans="1:10">
      <c r="A21" s="7" t="s">
        <v>72</v>
      </c>
      <c r="B21" s="2" t="s">
        <v>73</v>
      </c>
      <c r="C21" s="2" t="s">
        <v>74</v>
      </c>
      <c r="D21" s="2">
        <v>200</v>
      </c>
      <c r="E21" s="2">
        <v>10</v>
      </c>
      <c r="F21" s="2" t="s">
        <v>32</v>
      </c>
      <c r="G21" s="2" t="str">
        <f>IF(Table1[[#This Row],[Price ($)]]&gt;500,"High Price","Standard Price")</f>
        <v>Standard Price</v>
      </c>
      <c r="H21" s="2" t="str">
        <f>LEFT(Table1[[#This Row],[Product ID]],2)</f>
        <v>14</v>
      </c>
      <c r="I21" s="2" t="str">
        <f>RIGHT(Table1[[#This Row],[Product ID]],2)</f>
        <v>US</v>
      </c>
      <c r="J21" s="10" t="str">
        <f>MID(Table1[[#This Row],[Product ID]],4,3)</f>
        <v>AUG</v>
      </c>
    </row>
    <row r="22" spans="1:10">
      <c r="A22" s="6" t="s">
        <v>75</v>
      </c>
      <c r="B22" s="1" t="s">
        <v>76</v>
      </c>
      <c r="C22" s="1" t="s">
        <v>77</v>
      </c>
      <c r="D22" s="1">
        <v>700</v>
      </c>
      <c r="E22" s="1">
        <v>50</v>
      </c>
      <c r="F22" s="1" t="s">
        <v>13</v>
      </c>
      <c r="G22" s="2" t="str">
        <f>IF(Table1[[#This Row],[Price ($)]]&gt;500,"High Price","Standard Price")</f>
        <v>High Price</v>
      </c>
      <c r="H22" s="2" t="str">
        <f>LEFT(Table1[[#This Row],[Product ID]],2)</f>
        <v>14</v>
      </c>
      <c r="I22" s="2" t="str">
        <f>RIGHT(Table1[[#This Row],[Product ID]],2)</f>
        <v>RU</v>
      </c>
      <c r="J22" s="10" t="str">
        <f>MID(Table1[[#This Row],[Product ID]],4,3)</f>
        <v>MAY</v>
      </c>
    </row>
    <row r="23" spans="1:10">
      <c r="A23" s="7" t="s">
        <v>78</v>
      </c>
      <c r="B23" s="2" t="s">
        <v>79</v>
      </c>
      <c r="C23" s="2" t="s">
        <v>80</v>
      </c>
      <c r="D23" s="2">
        <v>80</v>
      </c>
      <c r="E23" s="2">
        <v>20</v>
      </c>
      <c r="F23" s="2" t="s">
        <v>23</v>
      </c>
      <c r="G23" s="2" t="str">
        <f>IF(Table1[[#This Row],[Price ($)]]&gt;500,"High Price","Standard Price")</f>
        <v>Standard Price</v>
      </c>
      <c r="H23" s="2" t="str">
        <f>LEFT(Table1[[#This Row],[Product ID]],2)</f>
        <v>09</v>
      </c>
      <c r="I23" s="2" t="str">
        <f>RIGHT(Table1[[#This Row],[Product ID]],2)</f>
        <v>CA</v>
      </c>
      <c r="J23" s="10" t="str">
        <f>MID(Table1[[#This Row],[Product ID]],4,3)</f>
        <v>JAN</v>
      </c>
    </row>
    <row r="24" spans="1:10">
      <c r="A24" s="6" t="s">
        <v>81</v>
      </c>
      <c r="B24" s="1" t="s">
        <v>82</v>
      </c>
      <c r="C24" s="1" t="s">
        <v>83</v>
      </c>
      <c r="D24" s="1">
        <v>150</v>
      </c>
      <c r="E24" s="1">
        <v>30</v>
      </c>
      <c r="F24" s="1" t="s">
        <v>13</v>
      </c>
      <c r="G24" s="2" t="str">
        <f>IF(Table1[[#This Row],[Price ($)]]&gt;500,"High Price","Standard Price")</f>
        <v>Standard Price</v>
      </c>
      <c r="H24" s="2" t="str">
        <f>LEFT(Table1[[#This Row],[Product ID]],2)</f>
        <v>19</v>
      </c>
      <c r="I24" s="2" t="str">
        <f>RIGHT(Table1[[#This Row],[Product ID]],2)</f>
        <v>BR</v>
      </c>
      <c r="J24" s="10" t="str">
        <f>MID(Table1[[#This Row],[Product ID]],4,3)</f>
        <v>JUL</v>
      </c>
    </row>
    <row r="25" spans="1:10">
      <c r="A25" s="7" t="s">
        <v>61</v>
      </c>
      <c r="B25" s="2" t="s">
        <v>62</v>
      </c>
      <c r="C25" s="2" t="s">
        <v>63</v>
      </c>
      <c r="D25" s="2">
        <v>50</v>
      </c>
      <c r="E25" s="2">
        <v>35</v>
      </c>
      <c r="F25" s="2" t="s">
        <v>64</v>
      </c>
      <c r="G25" s="2" t="str">
        <f>IF(Table1[[#This Row],[Price ($)]]&gt;500,"High Price","Standard Price")</f>
        <v>Standard Price</v>
      </c>
      <c r="H25" s="2" t="str">
        <f>LEFT(Table1[[#This Row],[Product ID]],2)</f>
        <v>21</v>
      </c>
      <c r="I25" s="2" t="str">
        <f>RIGHT(Table1[[#This Row],[Product ID]],2)</f>
        <v>CA</v>
      </c>
      <c r="J25" s="10" t="str">
        <f>MID(Table1[[#This Row],[Product ID]],4,3)</f>
        <v>AUG</v>
      </c>
    </row>
    <row r="26" spans="1:10">
      <c r="A26" s="6" t="s">
        <v>84</v>
      </c>
      <c r="B26" s="1" t="s">
        <v>26</v>
      </c>
      <c r="C26" s="1" t="s">
        <v>85</v>
      </c>
      <c r="D26" s="1">
        <v>800</v>
      </c>
      <c r="E26" s="1">
        <v>45</v>
      </c>
      <c r="F26" s="1" t="s">
        <v>13</v>
      </c>
      <c r="G26" s="2" t="str">
        <f>IF(Table1[[#This Row],[Price ($)]]&gt;500,"High Price","Standard Price")</f>
        <v>High Price</v>
      </c>
      <c r="H26" s="2" t="str">
        <f>LEFT(Table1[[#This Row],[Product ID]],2)</f>
        <v>29</v>
      </c>
      <c r="I26" s="2" t="str">
        <f>RIGHT(Table1[[#This Row],[Product ID]],2)</f>
        <v>CA</v>
      </c>
      <c r="J26" s="10" t="str">
        <f>MID(Table1[[#This Row],[Product ID]],4,3)</f>
        <v>SEP</v>
      </c>
    </row>
    <row r="27" spans="1:10">
      <c r="A27" s="7" t="s">
        <v>86</v>
      </c>
      <c r="B27" s="2" t="s">
        <v>70</v>
      </c>
      <c r="C27" s="2" t="s">
        <v>87</v>
      </c>
      <c r="D27" s="2">
        <v>130</v>
      </c>
      <c r="E27" s="2">
        <v>25</v>
      </c>
      <c r="F27" s="2" t="s">
        <v>18</v>
      </c>
      <c r="G27" s="2" t="str">
        <f>IF(Table1[[#This Row],[Price ($)]]&gt;500,"High Price","Standard Price")</f>
        <v>Standard Price</v>
      </c>
      <c r="H27" s="2" t="str">
        <f>LEFT(Table1[[#This Row],[Product ID]],2)</f>
        <v>03</v>
      </c>
      <c r="I27" s="2" t="str">
        <f>RIGHT(Table1[[#This Row],[Product ID]],2)</f>
        <v>CA</v>
      </c>
      <c r="J27" s="10" t="str">
        <f>MID(Table1[[#This Row],[Product ID]],4,3)</f>
        <v>JUN</v>
      </c>
    </row>
    <row r="28" spans="1:10">
      <c r="A28" s="6" t="s">
        <v>88</v>
      </c>
      <c r="B28" s="1" t="s">
        <v>43</v>
      </c>
      <c r="C28" s="1" t="s">
        <v>89</v>
      </c>
      <c r="D28" s="1">
        <v>400</v>
      </c>
      <c r="E28" s="1">
        <v>40</v>
      </c>
      <c r="F28" s="1" t="s">
        <v>23</v>
      </c>
      <c r="G28" s="2" t="str">
        <f>IF(Table1[[#This Row],[Price ($)]]&gt;500,"High Price","Standard Price")</f>
        <v>Standard Price</v>
      </c>
      <c r="H28" s="2" t="str">
        <f>LEFT(Table1[[#This Row],[Product ID]],2)</f>
        <v>11</v>
      </c>
      <c r="I28" s="2" t="str">
        <f>RIGHT(Table1[[#This Row],[Product ID]],2)</f>
        <v>CA</v>
      </c>
      <c r="J28" s="10" t="str">
        <f>MID(Table1[[#This Row],[Product ID]],4,3)</f>
        <v>JUL</v>
      </c>
    </row>
    <row r="29" spans="1:10">
      <c r="A29" s="7" t="s">
        <v>59</v>
      </c>
      <c r="B29" s="2" t="s">
        <v>35</v>
      </c>
      <c r="C29" s="2" t="s">
        <v>60</v>
      </c>
      <c r="D29" s="2">
        <v>230</v>
      </c>
      <c r="E29" s="2">
        <v>20</v>
      </c>
      <c r="F29" s="2" t="s">
        <v>13</v>
      </c>
      <c r="G29" s="2" t="str">
        <f>IF(Table1[[#This Row],[Price ($)]]&gt;500,"High Price","Standard Price")</f>
        <v>Standard Price</v>
      </c>
      <c r="H29" s="2" t="str">
        <f>LEFT(Table1[[#This Row],[Product ID]],2)</f>
        <v>16</v>
      </c>
      <c r="I29" s="2" t="str">
        <f>RIGHT(Table1[[#This Row],[Product ID]],2)</f>
        <v>ES</v>
      </c>
      <c r="J29" s="10" t="str">
        <f>MID(Table1[[#This Row],[Product ID]],4,3)</f>
        <v>APR</v>
      </c>
    </row>
    <row r="30" spans="1:10">
      <c r="A30" s="6" t="s">
        <v>90</v>
      </c>
      <c r="B30" s="1" t="s">
        <v>91</v>
      </c>
      <c r="C30" s="1" t="s">
        <v>92</v>
      </c>
      <c r="D30" s="1">
        <v>60</v>
      </c>
      <c r="E30" s="1">
        <v>30</v>
      </c>
      <c r="F30" s="1" t="s">
        <v>18</v>
      </c>
      <c r="G30" s="2" t="str">
        <f>IF(Table1[[#This Row],[Price ($)]]&gt;500,"High Price","Standard Price")</f>
        <v>Standard Price</v>
      </c>
      <c r="H30" s="2" t="str">
        <f>LEFT(Table1[[#This Row],[Product ID]],2)</f>
        <v>07</v>
      </c>
      <c r="I30" s="2" t="str">
        <f>RIGHT(Table1[[#This Row],[Product ID]],2)</f>
        <v>CA</v>
      </c>
      <c r="J30" s="10" t="str">
        <f>MID(Table1[[#This Row],[Product ID]],4,3)</f>
        <v>MAR</v>
      </c>
    </row>
    <row r="31" spans="1:10">
      <c r="A31" s="7" t="s">
        <v>93</v>
      </c>
      <c r="B31" s="2" t="s">
        <v>94</v>
      </c>
      <c r="C31" s="2" t="s">
        <v>95</v>
      </c>
      <c r="D31" s="2">
        <v>40</v>
      </c>
      <c r="E31" s="2">
        <v>10</v>
      </c>
      <c r="F31" s="2" t="s">
        <v>23</v>
      </c>
      <c r="G31" s="2" t="str">
        <f>IF(Table1[[#This Row],[Price ($)]]&gt;500,"High Price","Standard Price")</f>
        <v>Standard Price</v>
      </c>
      <c r="H31" s="2" t="str">
        <f>LEFT(Table1[[#This Row],[Product ID]],2)</f>
        <v>13</v>
      </c>
      <c r="I31" s="2" t="str">
        <f>RIGHT(Table1[[#This Row],[Product ID]],2)</f>
        <v>CA</v>
      </c>
      <c r="J31" s="10" t="str">
        <f>MID(Table1[[#This Row],[Product ID]],4,3)</f>
        <v>APR</v>
      </c>
    </row>
    <row r="32" spans="1:10">
      <c r="A32" s="6" t="s">
        <v>96</v>
      </c>
      <c r="B32" s="1" t="s">
        <v>82</v>
      </c>
      <c r="C32" s="1" t="s">
        <v>97</v>
      </c>
      <c r="D32" s="1">
        <v>130</v>
      </c>
      <c r="E32" s="1">
        <v>5</v>
      </c>
      <c r="F32" s="1" t="s">
        <v>13</v>
      </c>
      <c r="G32" s="2" t="str">
        <f>IF(Table1[[#This Row],[Price ($)]]&gt;500,"High Price","Standard Price")</f>
        <v>Standard Price</v>
      </c>
      <c r="H32" s="2" t="str">
        <f>LEFT(Table1[[#This Row],[Product ID]],2)</f>
        <v>24</v>
      </c>
      <c r="I32" s="2" t="str">
        <f>RIGHT(Table1[[#This Row],[Product ID]],2)</f>
        <v>CA</v>
      </c>
      <c r="J32" s="10" t="str">
        <f>MID(Table1[[#This Row],[Product ID]],4,3)</f>
        <v>MAY</v>
      </c>
    </row>
    <row r="33" spans="1:10">
      <c r="A33" s="7" t="s">
        <v>98</v>
      </c>
      <c r="B33" s="2" t="s">
        <v>99</v>
      </c>
      <c r="C33" s="2" t="s">
        <v>100</v>
      </c>
      <c r="D33" s="2">
        <v>50</v>
      </c>
      <c r="E33" s="2">
        <v>50</v>
      </c>
      <c r="F33" s="2" t="s">
        <v>18</v>
      </c>
      <c r="G33" s="2" t="str">
        <f>IF(Table1[[#This Row],[Price ($)]]&gt;500,"High Price","Standard Price")</f>
        <v>Standard Price</v>
      </c>
      <c r="H33" s="2" t="str">
        <f>LEFT(Table1[[#This Row],[Product ID]],2)</f>
        <v>02</v>
      </c>
      <c r="I33" s="2" t="str">
        <f>RIGHT(Table1[[#This Row],[Product ID]],2)</f>
        <v>CA</v>
      </c>
      <c r="J33" s="10" t="str">
        <f>MID(Table1[[#This Row],[Product ID]],4,3)</f>
        <v>DEC</v>
      </c>
    </row>
    <row r="34" spans="1:10">
      <c r="A34" s="6" t="s">
        <v>51</v>
      </c>
      <c r="B34" s="1" t="s">
        <v>11</v>
      </c>
      <c r="C34" s="1" t="s">
        <v>52</v>
      </c>
      <c r="D34" s="1">
        <v>950</v>
      </c>
      <c r="E34" s="1">
        <v>25</v>
      </c>
      <c r="F34" s="1" t="s">
        <v>13</v>
      </c>
      <c r="G34" s="2" t="str">
        <f>IF(Table1[[#This Row],[Price ($)]]&gt;500,"High Price","Standard Price")</f>
        <v>High Price</v>
      </c>
      <c r="H34" s="2" t="str">
        <f>LEFT(Table1[[#This Row],[Product ID]],2)</f>
        <v>17</v>
      </c>
      <c r="I34" s="2" t="str">
        <f>RIGHT(Table1[[#This Row],[Product ID]],2)</f>
        <v>IN</v>
      </c>
      <c r="J34" s="10" t="str">
        <f>MID(Table1[[#This Row],[Product ID]],4,3)</f>
        <v>JUN</v>
      </c>
    </row>
    <row r="35" spans="1:10">
      <c r="A35" s="8" t="s">
        <v>101</v>
      </c>
      <c r="B35" s="4" t="s">
        <v>102</v>
      </c>
      <c r="C35" s="4" t="s">
        <v>103</v>
      </c>
      <c r="D35" s="4">
        <v>100</v>
      </c>
      <c r="E35" s="4">
        <v>20</v>
      </c>
      <c r="F35" s="4" t="s">
        <v>64</v>
      </c>
      <c r="G35" s="4" t="str">
        <f>IF(Table1[[#This Row],[Price ($)]]&gt;500,"High Price","Standard Price")</f>
        <v>Standard Price</v>
      </c>
      <c r="H35" s="4" t="str">
        <f>LEFT(Table1[[#This Row],[Product ID]],2)</f>
        <v>09</v>
      </c>
      <c r="I35" s="4" t="str">
        <f>RIGHT(Table1[[#This Row],[Product ID]],2)</f>
        <v>FR</v>
      </c>
      <c r="J35" s="11" t="str">
        <f>MID(Table1[[#This Row],[Product ID]],4,3)</f>
        <v>JUL</v>
      </c>
    </row>
  </sheetData>
  <mergeCells count="2">
    <mergeCell ref="M7:N7"/>
    <mergeCell ref="M8:N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Sreelakshmi Pillai</cp:lastModifiedBy>
  <cp:revision/>
  <dcterms:created xsi:type="dcterms:W3CDTF">2026-10-15T12:47:34Z</dcterms:created>
  <dcterms:modified xsi:type="dcterms:W3CDTF">2026-10-15T13:34:02Z</dcterms:modified>
  <cp:category/>
  <cp:contentStatus/>
</cp:coreProperties>
</file>